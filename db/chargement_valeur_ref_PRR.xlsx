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ass\Documents\snise\PRR\"/>
    </mc:Choice>
  </mc:AlternateContent>
  <xr:revisionPtr revIDLastSave="0" documentId="13_ncr:1_{DE22C734-6111-4076-B7D6-C250D282FB3F}" xr6:coauthVersionLast="47" xr6:coauthVersionMax="47" xr10:uidLastSave="{00000000-0000-0000-0000-000000000000}"/>
  <bookViews>
    <workbookView xWindow="-120" yWindow="-120" windowWidth="20730" windowHeight="11040" tabRatio="771" firstSheet="1" activeTab="8" xr2:uid="{00000000-000D-0000-FFFF-FFFF00000000}"/>
  </bookViews>
  <sheets>
    <sheet name="Indicateurs" sheetId="1" r:id="rId1"/>
    <sheet name="Desagregations" sheetId="2" r:id="rId2"/>
    <sheet name="Sources" sheetId="3" r:id="rId3"/>
    <sheet name="Unites" sheetId="4" r:id="rId4"/>
    <sheet name="Zones" sheetId="5" r:id="rId5"/>
    <sheet name="Periodes" sheetId="6" r:id="rId6"/>
    <sheet name="CommentaireValeurIndicateurs" sheetId="7" r:id="rId7"/>
    <sheet name="NatureDonnees" sheetId="8" r:id="rId8"/>
    <sheet name="Data" sheetId="9" r:id="rId9"/>
    <sheet name="bkp" sheetId="10" r:id="rId10"/>
  </sheets>
  <definedNames>
    <definedName name="_xlnm._FilterDatabase" localSheetId="8" hidden="1">Data!$A$1:$I$69</definedName>
    <definedName name="_xlnm._FilterDatabase" localSheetId="0" hidden="1">Indicateurs!$A$1:$B$72</definedName>
    <definedName name="_xlnm._FilterDatabase" localSheetId="2" hidden="1">Sources!$A$1:$B$48</definedName>
  </definedNames>
  <calcPr calcId="191029" forceFullCalc="1"/>
</workbook>
</file>

<file path=xl/calcChain.xml><?xml version="1.0" encoding="utf-8"?>
<calcChain xmlns="http://schemas.openxmlformats.org/spreadsheetml/2006/main">
  <c r="A72" i="10" l="1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2" i="10"/>
</calcChain>
</file>

<file path=xl/sharedStrings.xml><?xml version="1.0" encoding="utf-8"?>
<sst xmlns="http://schemas.openxmlformats.org/spreadsheetml/2006/main" count="1536" uniqueCount="481">
  <si>
    <t>Intitulé</t>
  </si>
  <si>
    <t>Id</t>
  </si>
  <si>
    <t>Proportion de la population vivant en dessous du seuil national de pauvreté</t>
  </si>
  <si>
    <t>Incidence de la pauvreté multidimensionnelle</t>
  </si>
  <si>
    <t xml:space="preserve">Espérance de vie à la naissance </t>
  </si>
  <si>
    <t>Taux de satisfaction des populations vis-à-vis des services des forces de défense et de sécurité</t>
  </si>
  <si>
    <t>Proportion des communes déclarées en état d’urgence</t>
  </si>
  <si>
    <t>Proportion des frontières du territoire délimités et abornées (en distance kilométrique)</t>
  </si>
  <si>
    <t>Taux de variation des conflits inter et intra-communautaires</t>
  </si>
  <si>
    <t>Proportion de comités de Paix opérationnels pour la prévention et la gestion des conflits communautaires</t>
  </si>
  <si>
    <t>Proportion de la population estimant que les informations fournies par les autorités centrales sur le budget et les politiques publiques sont suffisantes</t>
  </si>
  <si>
    <t>Proportion de la population ayant contribué à au moins une action de développement bénévolement</t>
  </si>
  <si>
    <t>Taux de satisfaction des usagers des services judiciaires</t>
  </si>
  <si>
    <t xml:space="preserve">Délai moyen de traitement des affaires pénales </t>
  </si>
  <si>
    <t>Taux de couverture juridictionnelle</t>
  </si>
  <si>
    <t>Proportion de la population estimant que leurs préoccupations/demandes sont prises en compte par les autorités politiques</t>
  </si>
  <si>
    <t>Ratio d'encadrement administratif</t>
  </si>
  <si>
    <t>Pourcentage des collectivités qui ont déposé leurs comptes de gestion dans les délais</t>
  </si>
  <si>
    <t>Proportion des communes ayant élaboré le rapport annuel sur l’état général de la commune</t>
  </si>
  <si>
    <t xml:space="preserve">Proportion des institutions opérationnelles prévues par la charte de la refondation de la République </t>
  </si>
  <si>
    <t>Degré de perception de la population sur le respect des droits humains</t>
  </si>
  <si>
    <t>Proportion de compétitions internationales auxquelles le Niger a obtenu de médailles et autres distinctions</t>
  </si>
  <si>
    <t>Nombre d’événements sportif régionaux et internationaux auxquels le Niger a participé</t>
  </si>
  <si>
    <t>Taux de croissance annuelle du PIB réel</t>
  </si>
  <si>
    <t>Indice de répartition des revenus (Indice de Gini)</t>
  </si>
  <si>
    <t>Taux d’exécution du budget de l’Etat</t>
  </si>
  <si>
    <t>Proportion des cadres stratégiques sectoriels conformes aux priorités nationales</t>
  </si>
  <si>
    <t>Taux de pression fiscale</t>
  </si>
  <si>
    <t>Part des ressources extérieures dans le budget national</t>
  </si>
  <si>
    <t>Part de quantité de céréales importées par rapport aux besoins</t>
  </si>
  <si>
    <t>Part de l'agriculture dans le PIB</t>
  </si>
  <si>
    <t>Part de la production des cultures irriguées dans la production agricole</t>
  </si>
  <si>
    <t>Taux d’accroissement des productions des cultures irriguées</t>
  </si>
  <si>
    <t>Taux d’accroissement des productions des cultures pluviales</t>
  </si>
  <si>
    <t>Part de l'élevage dans le PIB</t>
  </si>
  <si>
    <t>Indice d’accessibilité rurale</t>
  </si>
  <si>
    <t>Taux d’écoulement des produits agricoles entre le Niger et le reste du Monde</t>
  </si>
  <si>
    <t>Proportion des plateformes de commerces ayant une rubrique agricole</t>
  </si>
  <si>
    <t>Proportion d’unités agro-industrielles opérationnelles</t>
  </si>
  <si>
    <t>Part des activités minières dans le PIB (Uranate+Or)</t>
  </si>
  <si>
    <t xml:space="preserve">Part des activités extractives pétrolières dans le PIB </t>
  </si>
  <si>
    <t>Taux d’accès national à l’électricité (Toutes les sources)</t>
  </si>
  <si>
    <t>Densité routière</t>
  </si>
  <si>
    <t xml:space="preserve">Délai moyen d’acheminement des marchandises à partir des principaux ports de transit </t>
  </si>
  <si>
    <t>Taux de pénétration mobile</t>
  </si>
  <si>
    <t>Taux de pénétration internet haut débit</t>
  </si>
  <si>
    <t>Taux d'alphabétisation</t>
  </si>
  <si>
    <t>Taux de mortalité des enfants de moins de 5 ans</t>
  </si>
  <si>
    <t>Taux de mortalité maternelle</t>
  </si>
  <si>
    <t xml:space="preserve">Taux d’achèvement primaire (TAP) </t>
  </si>
  <si>
    <t>Taux d'achèvement Global au cycle de base 2</t>
  </si>
  <si>
    <t>Taux d'achèvement Global au cycle moyen</t>
  </si>
  <si>
    <t>Proportion (%) d’apprenants inscrits à l’EFTP formel par rapport à ceux de l'enseignement secondaire général</t>
  </si>
  <si>
    <t xml:space="preserve">Durée Moyenne de scolarisation </t>
  </si>
  <si>
    <t>Ratio étudiants/enseignants dans les Universités Publiques du Niger</t>
  </si>
  <si>
    <t>Nombre d’étudiants pour une place assise en amphithéâtre</t>
  </si>
  <si>
    <t>Taux de variation de brevets délivrés</t>
  </si>
  <si>
    <t>Dépense de recherche et développement en pourcentage du budget national</t>
  </si>
  <si>
    <t>Proportion de projets de recherche financés</t>
  </si>
  <si>
    <t>Taux de couverture sanitaire</t>
  </si>
  <si>
    <t>Taux d’accouchements assistés par un personnel qualifié</t>
  </si>
  <si>
    <t>Proportion d’établissements de santé utilisant un dispositif adéquat de gestion des déchets d’activités de soins (GDAS)</t>
  </si>
  <si>
    <t>Prévalence de la malnutrition aiguë globale chez les enfants de 6 à 59 mois</t>
  </si>
  <si>
    <t>Pourcentage de personnes affectées assistées en vivres et biens non alimentaires</t>
  </si>
  <si>
    <t xml:space="preserve">Pourcentage des ménages en insécurité alimentaire bénéficiaires de transferts sociaux prévisibles caractérisés des pauvres </t>
  </si>
  <si>
    <t xml:space="preserve">Taux de placement des jeunes </t>
  </si>
  <si>
    <t xml:space="preserve">Taux de chômage des jeunes (15 à 34 ans) </t>
  </si>
  <si>
    <t>Taux de couverture géographique en eau potable en milieu rural</t>
  </si>
  <si>
    <t>Taux d’accès théorique à l’eau potable en milieu rural</t>
  </si>
  <si>
    <t>Taux des Communes Urbaines/ Villes ayant un plan de gestion des déchets (PGD)</t>
  </si>
  <si>
    <t>Taux de valorisation des déchets ménagers</t>
  </si>
  <si>
    <t>Proportion des centres urbains disposant d’un outil de planification urbaine (SDAU, PUR, CDU, SDEP)</t>
  </si>
  <si>
    <t>Taux de réalisation de logements sociaux</t>
  </si>
  <si>
    <t>Femme</t>
  </si>
  <si>
    <t>Homme</t>
  </si>
  <si>
    <t>Urbain</t>
  </si>
  <si>
    <t>Rural</t>
  </si>
  <si>
    <t>Total</t>
  </si>
  <si>
    <t>INS, 2021, EHCVM</t>
  </si>
  <si>
    <t>INS, 2019, Rapport sur les projections démographiques</t>
  </si>
  <si>
    <t>Rapport Ministère en charge de l'intérieur</t>
  </si>
  <si>
    <t>Rapport Ministère en charge de l'intérieur 2022</t>
  </si>
  <si>
    <t>HACP</t>
  </si>
  <si>
    <t>MJDH, 2022, Rapport d'enquête sur les besoins et la satisfaction en matière de justice</t>
  </si>
  <si>
    <t>MJDH</t>
  </si>
  <si>
    <t>RAP du ministère en charge de la fonction publique</t>
  </si>
  <si>
    <t>Cour des comptes, 2021, Rapport d'activité</t>
  </si>
  <si>
    <t>Ministère de l'intérieur</t>
  </si>
  <si>
    <t>MJCAS</t>
  </si>
  <si>
    <t>Annuaire MJCAS</t>
  </si>
  <si>
    <t>INS, 2024, comptes nationaux annuels (CNA) révisés 2015-2022 et provisoires 2023-2024</t>
  </si>
  <si>
    <t>MEF/DGPPD-DGB</t>
  </si>
  <si>
    <t>MEF/DGPPD</t>
  </si>
  <si>
    <t>MEF</t>
  </si>
  <si>
    <t>DGB</t>
  </si>
  <si>
    <t>Ministère de l'Agriculture et l'Elevage</t>
  </si>
  <si>
    <t>Rapport DS/MAG/EL, RAP et RAC du MAG/EL</t>
  </si>
  <si>
    <t>MEq, 2022, RAP</t>
  </si>
  <si>
    <t>INS, 2023, Bulletin des statistiques du commerce extérieur</t>
  </si>
  <si>
    <t>Ministère du Commerce et de l'Industrie</t>
  </si>
  <si>
    <t>INS, 2022, CEN</t>
  </si>
  <si>
    <t>ME/ER, RAP 2022</t>
  </si>
  <si>
    <t>MEq, 2024, RAP</t>
  </si>
  <si>
    <t>MT, 2022, RAP</t>
  </si>
  <si>
    <t>ARCEP, Rapport d'activités 2022</t>
  </si>
  <si>
    <t>INS, 2021, Enquête ENAFEME</t>
  </si>
  <si>
    <t>INS, 2015, ENISED</t>
  </si>
  <si>
    <t>Annuaire MEN/A/EP/PLN 2023-2024</t>
  </si>
  <si>
    <t>INS-RNDH,2020</t>
  </si>
  <si>
    <t>Annuaire MESR 2023-2024</t>
  </si>
  <si>
    <t>Annuaire MESRIT 2023-2024</t>
  </si>
  <si>
    <t>Ministère du Commerce et d'Industrie</t>
  </si>
  <si>
    <t>Ministère de l'Economie et des Finances</t>
  </si>
  <si>
    <t>MESRIT</t>
  </si>
  <si>
    <t>Annuaire Statistique MSP, 2024</t>
  </si>
  <si>
    <t>Annuaire Santé</t>
  </si>
  <si>
    <t>Rapport d'évaluation, 2024, du PGDISS 2016-2020</t>
  </si>
  <si>
    <t>INS, 2022, Enquête SMART</t>
  </si>
  <si>
    <t>PAP/MAHGC</t>
  </si>
  <si>
    <t>Rapport ANPE</t>
  </si>
  <si>
    <t>Rapport sur les indicateurs MH/A</t>
  </si>
  <si>
    <t>Rapport sur les indicateurs MHA/E</t>
  </si>
  <si>
    <t>Rapport MELCD</t>
  </si>
  <si>
    <t>MU/ L, Rapport Annuel de Performance 2022</t>
  </si>
  <si>
    <t>MU/H RAP</t>
  </si>
  <si>
    <t>%</t>
  </si>
  <si>
    <t>Ans</t>
  </si>
  <si>
    <t>Jour</t>
  </si>
  <si>
    <t>Encadrants pour 1000hbts</t>
  </si>
  <si>
    <t>Nombre</t>
  </si>
  <si>
    <t>Indice</t>
  </si>
  <si>
    <t>Km/1000hbts</t>
  </si>
  <si>
    <t>‰</t>
  </si>
  <si>
    <t>100 000 naissances</t>
  </si>
  <si>
    <t>Ratio</t>
  </si>
  <si>
    <t>Niveau</t>
  </si>
  <si>
    <t>NIGER</t>
  </si>
  <si>
    <t>NIAMEY</t>
  </si>
  <si>
    <t>DOSSO</t>
  </si>
  <si>
    <t>AGADEZ</t>
  </si>
  <si>
    <t>TAHOUA</t>
  </si>
  <si>
    <t>MARADI</t>
  </si>
  <si>
    <t>DIFFA</t>
  </si>
  <si>
    <t>VILLE DE NIAMEY</t>
  </si>
  <si>
    <t>DOGONDOUTCHI</t>
  </si>
  <si>
    <t>INGALL</t>
  </si>
  <si>
    <t>BAGAROUA</t>
  </si>
  <si>
    <t>ILLELA</t>
  </si>
  <si>
    <t>MALBAZA</t>
  </si>
  <si>
    <t>MADAOUA</t>
  </si>
  <si>
    <t>KEITA</t>
  </si>
  <si>
    <t>BOUZA</t>
  </si>
  <si>
    <t>ABALAK</t>
  </si>
  <si>
    <t>ARLIT</t>
  </si>
  <si>
    <t>BOBOYE</t>
  </si>
  <si>
    <t>FALMEY</t>
  </si>
  <si>
    <t>GAYA</t>
  </si>
  <si>
    <t>DIOUNDIOU</t>
  </si>
  <si>
    <t>TIBIRI (DOUTCHI)</t>
  </si>
  <si>
    <t>LOGA</t>
  </si>
  <si>
    <t>GAZAOUA</t>
  </si>
  <si>
    <t>AGUIE</t>
  </si>
  <si>
    <t>MADAROUNFA</t>
  </si>
  <si>
    <t>GUIDAN-ROUMDJI</t>
  </si>
  <si>
    <t>TESSAOUA</t>
  </si>
  <si>
    <t>DAKORO</t>
  </si>
  <si>
    <t>MAYAHI</t>
  </si>
  <si>
    <t>MAINE-SOROA</t>
  </si>
  <si>
    <t>GOUDOUMARIA</t>
  </si>
  <si>
    <t>BOSSO</t>
  </si>
  <si>
    <t>BERMO</t>
  </si>
  <si>
    <t>ADERBISSINAT</t>
  </si>
  <si>
    <t>TCHIROZERINE</t>
  </si>
  <si>
    <t>IFEROUANE</t>
  </si>
  <si>
    <t>BILMA</t>
  </si>
  <si>
    <t>MARADI VILLE</t>
  </si>
  <si>
    <t>NIAMEY ARRONDISSEMENT 3</t>
  </si>
  <si>
    <t>NIAMEY ARRONDISSEMENT 2</t>
  </si>
  <si>
    <t>NIAMEY ARRONDISSEMENT 1</t>
  </si>
  <si>
    <t>NIAMEY ARRONDISSEMENT 5</t>
  </si>
  <si>
    <t>NIAMEY ARRONDISSEMENT 4</t>
  </si>
  <si>
    <t>DOGONKIRIA</t>
  </si>
  <si>
    <t>MATANKARI</t>
  </si>
  <si>
    <t>BAMBEYE</t>
  </si>
  <si>
    <t>TAJAE</t>
  </si>
  <si>
    <t>DOGUERAWA</t>
  </si>
  <si>
    <t>SABON GUIDA</t>
  </si>
  <si>
    <t>GALMA KOUDAWATCHE</t>
  </si>
  <si>
    <t>TAMASKE</t>
  </si>
  <si>
    <t>BADAGUICHIRI</t>
  </si>
  <si>
    <t>ALLAKAYE</t>
  </si>
  <si>
    <t>TABOTAKI</t>
  </si>
  <si>
    <t>AZARORI</t>
  </si>
  <si>
    <t>GARHANGA</t>
  </si>
  <si>
    <t>DEOULE</t>
  </si>
  <si>
    <t>AFFALA</t>
  </si>
  <si>
    <t>TABALAK</t>
  </si>
  <si>
    <t>BARMOU</t>
  </si>
  <si>
    <t>IBOHAMANE</t>
  </si>
  <si>
    <t>AKOUBOUNOU</t>
  </si>
  <si>
    <t>BANGUI</t>
  </si>
  <si>
    <t>OURNO</t>
  </si>
  <si>
    <t>KAROFANE</t>
  </si>
  <si>
    <t>BABANKATAMI</t>
  </si>
  <si>
    <t>AZEYE</t>
  </si>
  <si>
    <t>TAMAYA</t>
  </si>
  <si>
    <t>GOUGARAM</t>
  </si>
  <si>
    <t>FAKARA</t>
  </si>
  <si>
    <t>FABIDJI</t>
  </si>
  <si>
    <t>KANKANDI</t>
  </si>
  <si>
    <t>TESSA</t>
  </si>
  <si>
    <t>SAMBERA</t>
  </si>
  <si>
    <t>TANDA</t>
  </si>
  <si>
    <t>YELOU</t>
  </si>
  <si>
    <t>GOLLE</t>
  </si>
  <si>
    <t>GUILLADJE</t>
  </si>
  <si>
    <t>FAREY</t>
  </si>
  <si>
    <t>BANA</t>
  </si>
  <si>
    <t>BENGOU</t>
  </si>
  <si>
    <t>TOUNOUGA</t>
  </si>
  <si>
    <t>KARGUIBANGOU</t>
  </si>
  <si>
    <t>ZABORI</t>
  </si>
  <si>
    <t>KARAKARA</t>
  </si>
  <si>
    <t>GUECHEME</t>
  </si>
  <si>
    <t>MOKKO</t>
  </si>
  <si>
    <t>KIOTA</t>
  </si>
  <si>
    <t>GARANKEDEY</t>
  </si>
  <si>
    <t>GOROUBANKASSAM</t>
  </si>
  <si>
    <t>KOYGOLO</t>
  </si>
  <si>
    <t>HARIKANASSOU</t>
  </si>
  <si>
    <t>SOKORBE</t>
  </si>
  <si>
    <t>KORE MAIROUA</t>
  </si>
  <si>
    <t>TOMBOKOIREY II</t>
  </si>
  <si>
    <t>TOMBOKOIREY I</t>
  </si>
  <si>
    <t>DOUMEGA</t>
  </si>
  <si>
    <t>FALWEL</t>
  </si>
  <si>
    <t>KIECHE</t>
  </si>
  <si>
    <t>DAN-KASSARI</t>
  </si>
  <si>
    <t>SOUCOUCOUTANE</t>
  </si>
  <si>
    <t>DANNET</t>
  </si>
  <si>
    <t>GANGARA (AGUIE)</t>
  </si>
  <si>
    <t>GABI</t>
  </si>
  <si>
    <t>SAFO</t>
  </si>
  <si>
    <t>TIBIRI (MARADI)</t>
  </si>
  <si>
    <t>DAN-ISSA</t>
  </si>
  <si>
    <t>SARKIN YAMMA</t>
  </si>
  <si>
    <t>GUIDAN SORI</t>
  </si>
  <si>
    <t>DJIRATAWA</t>
  </si>
  <si>
    <t>TCHADOUA</t>
  </si>
  <si>
    <t>HAWANDAWAKI</t>
  </si>
  <si>
    <t>KORGOM</t>
  </si>
  <si>
    <t>SAE SABOUA</t>
  </si>
  <si>
    <t>MAIYARA</t>
  </si>
  <si>
    <t>GUIDAN ROUMDJI</t>
  </si>
  <si>
    <t>CHADAKORI</t>
  </si>
  <si>
    <t>DAN-GOULBI</t>
  </si>
  <si>
    <t>SABON MACHI</t>
  </si>
  <si>
    <t>KORNAKA</t>
  </si>
  <si>
    <t>SARKIN HAOUSSA</t>
  </si>
  <si>
    <t>BAOUDETTA</t>
  </si>
  <si>
    <t>MAIJIRGUI</t>
  </si>
  <si>
    <t>KOONA</t>
  </si>
  <si>
    <t>ATTANTANE</t>
  </si>
  <si>
    <t>OURAFANE</t>
  </si>
  <si>
    <t>KANAN-BAKACHE</t>
  </si>
  <si>
    <t>ISSAWANE</t>
  </si>
  <si>
    <t>FOULATARI</t>
  </si>
  <si>
    <t>MAINE SOROA</t>
  </si>
  <si>
    <t>CHETIMARI</t>
  </si>
  <si>
    <t>GUESKEROU</t>
  </si>
  <si>
    <t>TOUMOUR</t>
  </si>
  <si>
    <t>EL ALLASSANE MAIREYREY</t>
  </si>
  <si>
    <t>GADABEDJI</t>
  </si>
  <si>
    <t>BIRNI LALLE</t>
  </si>
  <si>
    <t>ADJEKORIA</t>
  </si>
  <si>
    <t>KORAHANE</t>
  </si>
  <si>
    <t>TAGRISS</t>
  </si>
  <si>
    <t>GUIDAN AMOUMOUNE</t>
  </si>
  <si>
    <t>TCHAKE</t>
  </si>
  <si>
    <t>ROUMBOU I</t>
  </si>
  <si>
    <t>AZAGOR</t>
  </si>
  <si>
    <t>BADER GOULA</t>
  </si>
  <si>
    <t>DABAGA</t>
  </si>
  <si>
    <t>TABELOT</t>
  </si>
  <si>
    <t>TIMIA</t>
  </si>
  <si>
    <t>DIRKOU</t>
  </si>
  <si>
    <t>FACHI</t>
  </si>
  <si>
    <t>DJADO</t>
  </si>
  <si>
    <t>TILLABERI</t>
  </si>
  <si>
    <t>ZINDER</t>
  </si>
  <si>
    <t>SAY</t>
  </si>
  <si>
    <t>KOLLO</t>
  </si>
  <si>
    <t>GOTHEYE</t>
  </si>
  <si>
    <t>TERA</t>
  </si>
  <si>
    <t>BALLEYARA</t>
  </si>
  <si>
    <t>ABALA</t>
  </si>
  <si>
    <t>OUALLAM</t>
  </si>
  <si>
    <t>FILINGUE</t>
  </si>
  <si>
    <t>AYEROU</t>
  </si>
  <si>
    <t>BANIBANGOU</t>
  </si>
  <si>
    <t>BANKILARE</t>
  </si>
  <si>
    <t>KANTCHE</t>
  </si>
  <si>
    <t>MAGARIA</t>
  </si>
  <si>
    <t>MIRRIAH</t>
  </si>
  <si>
    <t>TAKEITA</t>
  </si>
  <si>
    <t>GOURE</t>
  </si>
  <si>
    <t>DUNGASS</t>
  </si>
  <si>
    <t>DAMAGARAM TAKAYA</t>
  </si>
  <si>
    <t>BELBEDJI</t>
  </si>
  <si>
    <t>TANOUT</t>
  </si>
  <si>
    <t>TESKER</t>
  </si>
  <si>
    <t>TILLIA</t>
  </si>
  <si>
    <t>TCHINTABARADEN</t>
  </si>
  <si>
    <t>TASSARA</t>
  </si>
  <si>
    <t>ZINDER VILLE</t>
  </si>
  <si>
    <t>TAHOUA VILLE</t>
  </si>
  <si>
    <t>TORODI</t>
  </si>
  <si>
    <t>TAMOU</t>
  </si>
  <si>
    <t>OURO GUELADJO</t>
  </si>
  <si>
    <t>KIRTACHI</t>
  </si>
  <si>
    <t>DARGOL</t>
  </si>
  <si>
    <t>NAMARO</t>
  </si>
  <si>
    <t>DIAGOUROU</t>
  </si>
  <si>
    <t>KOURE</t>
  </si>
  <si>
    <t>DIANTCHANDOU</t>
  </si>
  <si>
    <t>TAGAZAR</t>
  </si>
  <si>
    <t>SIMIRI</t>
  </si>
  <si>
    <t>KOKOROU</t>
  </si>
  <si>
    <t>KOURTEYE</t>
  </si>
  <si>
    <t>SAKOIRA</t>
  </si>
  <si>
    <t>IMANAN</t>
  </si>
  <si>
    <t>TONDIKANDIA</t>
  </si>
  <si>
    <t>KOURFEYE CENTRE</t>
  </si>
  <si>
    <t>DINGAZI</t>
  </si>
  <si>
    <t>DESSA</t>
  </si>
  <si>
    <t>MEHANA</t>
  </si>
  <si>
    <t>SINDER</t>
  </si>
  <si>
    <t>ANZOUROU</t>
  </si>
  <si>
    <t>INATES</t>
  </si>
  <si>
    <t>TONDIKIWINDI</t>
  </si>
  <si>
    <t>BIBIYERGOU</t>
  </si>
  <si>
    <t>KARMA</t>
  </si>
  <si>
    <t>HAMDALLAYE</t>
  </si>
  <si>
    <t>BITINKODJI</t>
  </si>
  <si>
    <t>YOURI</t>
  </si>
  <si>
    <t>LIBORE</t>
  </si>
  <si>
    <t>GOROUOL</t>
  </si>
  <si>
    <t>MATAMEY</t>
  </si>
  <si>
    <t>DROUM</t>
  </si>
  <si>
    <t>DAN BARTO</t>
  </si>
  <si>
    <t>SASSOUMBROUM</t>
  </si>
  <si>
    <t>YEKOUA</t>
  </si>
  <si>
    <t>KWAYA</t>
  </si>
  <si>
    <t>DAOUCHE</t>
  </si>
  <si>
    <t>TSAOUNI</t>
  </si>
  <si>
    <t>YAOURI</t>
  </si>
  <si>
    <t>KOURNI</t>
  </si>
  <si>
    <t>DOUNGOU</t>
  </si>
  <si>
    <t>ICHIRNAWA</t>
  </si>
  <si>
    <t>GARAGOUMSA</t>
  </si>
  <si>
    <t>TIRMINI</t>
  </si>
  <si>
    <t>BOUNE</t>
  </si>
  <si>
    <t>BANDE</t>
  </si>
  <si>
    <t>DOGO-DOGO</t>
  </si>
  <si>
    <t>DANTCHIAO</t>
  </si>
  <si>
    <t>MALAWA</t>
  </si>
  <si>
    <t>WACHA</t>
  </si>
  <si>
    <t>DOGO</t>
  </si>
  <si>
    <t>GOUNA</t>
  </si>
  <si>
    <t>GOUCHI</t>
  </si>
  <si>
    <t>GUIDIGUIR</t>
  </si>
  <si>
    <t>KELLE</t>
  </si>
  <si>
    <t>GAFFATI</t>
  </si>
  <si>
    <t>HAMDARA</t>
  </si>
  <si>
    <t>KOLLERAM</t>
  </si>
  <si>
    <t>ZERMOU</t>
  </si>
  <si>
    <t>GUIDIMOUNI</t>
  </si>
  <si>
    <t>ALBARKARAM</t>
  </si>
  <si>
    <t>DAKOUSSA</t>
  </si>
  <si>
    <t>WAME</t>
  </si>
  <si>
    <t>MAZAMNI</t>
  </si>
  <si>
    <t>MOA</t>
  </si>
  <si>
    <t>TARKA</t>
  </si>
  <si>
    <t>FALENKO</t>
  </si>
  <si>
    <t>OLLELEWA</t>
  </si>
  <si>
    <t>TENHYA</t>
  </si>
  <si>
    <t>GANGARA (TANOUT)</t>
  </si>
  <si>
    <t>GAMOU</t>
  </si>
  <si>
    <t>ALAKOSS</t>
  </si>
  <si>
    <t>KALFOU</t>
  </si>
  <si>
    <t>TEBARAM</t>
  </si>
  <si>
    <t>KAO</t>
  </si>
  <si>
    <t>TAKANAMAT</t>
  </si>
  <si>
    <t>PARC W</t>
  </si>
  <si>
    <t>ZINDER I,II,III,IV,V</t>
  </si>
  <si>
    <t>TAHOUA I,II</t>
  </si>
  <si>
    <t>MAKALONDI</t>
  </si>
  <si>
    <t>...</t>
  </si>
  <si>
    <t>///</t>
  </si>
  <si>
    <t>RAS</t>
  </si>
  <si>
    <t>Prévision</t>
  </si>
  <si>
    <t>Réalisation</t>
  </si>
  <si>
    <t>Valeur de référence</t>
  </si>
  <si>
    <t>Code</t>
  </si>
  <si>
    <t>Indicateur</t>
  </si>
  <si>
    <t>Zone</t>
  </si>
  <si>
    <t>Unite</t>
  </si>
  <si>
    <t>Source</t>
  </si>
  <si>
    <t>CommentaireValeur</t>
  </si>
  <si>
    <t>NatureDonnee</t>
  </si>
  <si>
    <t>Periode</t>
  </si>
  <si>
    <t>valeur</t>
  </si>
  <si>
    <t>Début Désagregation</t>
  </si>
  <si>
    <t>1246-1-6-4-4-3-3-22</t>
  </si>
  <si>
    <t>1247-1-6-4-4-3-3-22</t>
  </si>
  <si>
    <t>1248-1-6-5-5-3-3-24</t>
  </si>
  <si>
    <t>1249-1-6-4-4-3-3-22</t>
  </si>
  <si>
    <t>1250-1-6-4-6-3-3-25</t>
  </si>
  <si>
    <t>1251-1-6-4-7-3-3-23</t>
  </si>
  <si>
    <t>1252-1-6-4-8-3-3-24</t>
  </si>
  <si>
    <t>1253-1-6-4-8-3-3-24</t>
  </si>
  <si>
    <t>1254-1-6-4-4-3-3-22</t>
  </si>
  <si>
    <t>1255-1-6-4-4-3-3-22</t>
  </si>
  <si>
    <t>1256-1-6-4-9-3-3-23</t>
  </si>
  <si>
    <t>1257-1-6-6-10-3-3-24</t>
  </si>
  <si>
    <t>1258-1-6-4-10-3-3-25</t>
  </si>
  <si>
    <t>1259-1-6-4-4-3-3-22</t>
  </si>
  <si>
    <t>1260-1-6-7-11-3-3-25</t>
  </si>
  <si>
    <t>1261-1-6-4-12-3-3-22</t>
  </si>
  <si>
    <t>1262-1-6-4-13-3-3-25</t>
  </si>
  <si>
    <t>1263-1-6-4-10-3-3-25</t>
  </si>
  <si>
    <t>1264-1-6-4-10-3-3-25</t>
  </si>
  <si>
    <t>1265-1-6-4-14-3-3-19</t>
  </si>
  <si>
    <t>1266-1-6-8-15-3-3-24</t>
  </si>
  <si>
    <t>1267-1-6-4-16-3-3-25</t>
  </si>
  <si>
    <t>1268-1-6-9-4-3-3-22</t>
  </si>
  <si>
    <t>1269-1-6-4-17-3-3-25</t>
  </si>
  <si>
    <t>1270-1-6-4-18-3-3-25</t>
  </si>
  <si>
    <t>1271-1-6-4-19-3-3-25</t>
  </si>
  <si>
    <t>1273-1-6-4-21-3-3-24</t>
  </si>
  <si>
    <t>1274-1-6-4-16-3-3-25</t>
  </si>
  <si>
    <t>1275-1-6-4-22-3-3-23</t>
  </si>
  <si>
    <t>1276-1-6-4-22-3-3-25</t>
  </si>
  <si>
    <t>1277-1-6-4-22-3-3-25</t>
  </si>
  <si>
    <t>1278-1-6-4-16-3-3-25</t>
  </si>
  <si>
    <t>1279-1-6-4-23-3-3-25</t>
  </si>
  <si>
    <t>1280-1-6-4-24-3-3-23</t>
  </si>
  <si>
    <t>1281-1-6-4-25-3-3-25</t>
  </si>
  <si>
    <t>1282-1-6-4-25-3-3-25</t>
  </si>
  <si>
    <t>1283-1-6-4-26-3-3-23</t>
  </si>
  <si>
    <t>1284-1-6-4-26-3-3-23</t>
  </si>
  <si>
    <t>1285-1-6-4-27-3-3-23</t>
  </si>
  <si>
    <t>1286-1-6-10-28-3-3-25</t>
  </si>
  <si>
    <t>1287-1-6-6-29-3-3-23</t>
  </si>
  <si>
    <t>1288-1-6-4-30-3-3-23</t>
  </si>
  <si>
    <t>1289-1-6-4-30-3-3-23</t>
  </si>
  <si>
    <t>1290-1-6-4-4-3-3-22</t>
  </si>
  <si>
    <t>1291-1-6-11-31-3-3-22</t>
  </si>
  <si>
    <t>1292-1-6-12-32-3-3-16</t>
  </si>
  <si>
    <t>1293-1-6-4-33-3-3-25</t>
  </si>
  <si>
    <t>1294-1-6-4-33-3-3-25</t>
  </si>
  <si>
    <t>1295-1-6-4-33-3-3-25</t>
  </si>
  <si>
    <t>1296-1-6-4-33-3-3-25</t>
  </si>
  <si>
    <t>1297-1-6-5-34-3-3-20</t>
  </si>
  <si>
    <t>1298-1-6-13-35-3-3-25</t>
  </si>
  <si>
    <t>1299-1-6-8-36-3-3-25</t>
  </si>
  <si>
    <t>1300-1-6-4-25-3-3-25</t>
  </si>
  <si>
    <t>1303-1-6-4-40-3-3-25</t>
  </si>
  <si>
    <t>1304-1-6-4-41-3-3-25</t>
  </si>
  <si>
    <t>1305-1-6-4-42-3-3-25</t>
  </si>
  <si>
    <t>1306-1-6-4-43-3-3-23</t>
  </si>
  <si>
    <t>1307-1-6-4-44-3-3-19</t>
  </si>
  <si>
    <t>1308-1-6-4-4-3-3-22</t>
  </si>
  <si>
    <t>1309-1-6-4-45-3-3-23</t>
  </si>
  <si>
    <t>1310-1-6-4-4-3-3-22</t>
  </si>
  <si>
    <t>1311-1-6-4-46-3-3-25</t>
  </si>
  <si>
    <t>1312-1-6-4-46-3-3-25</t>
  </si>
  <si>
    <t>1313-1-6-4-47-3-3-25</t>
  </si>
  <si>
    <t>1314-1-6-4-48-3-3-21</t>
  </si>
  <si>
    <t>1315-1-6-4-49-3-3-23</t>
  </si>
  <si>
    <t>1316-1-6-4-50-3-3-24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</si>
</sst>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1"/>
      <color rgb="FF000000"/>
      <name val="Calibri"/>
      <family val="2"/>
    </font>
    <font>
      <sz val="9.5"/>
      <color rgb="FF000000"/>
      <name val="Tahoma"/>
      <family val="2"/>
    </font>
    <font>
      <sz val="9.5"/>
      <color theme="1"/>
      <name val="Tahoma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72"/>
  <sheetViews>
    <sheetView workbookViewId="0">
      <selection activeCell="A12" sqref="A12"/>
    </sheetView>
  </sheetViews>
  <sheetFormatPr baseColWidth="10" defaultColWidth="9.140625" defaultRowHeight="15" x14ac:dyDescent="0.25"/>
  <cols>
    <col min="1" max="1" width="137.42578125" bestFit="1" customWidth="1"/>
  </cols>
  <sheetData>
    <row r="1" spans="1:2" x14ac:dyDescent="0.25">
      <c r="A1" t="s">
        <v>0</v>
      </c>
      <c r="B1" t="s">
        <v>1</v>
      </c>
    </row>
    <row r="2" spans="1:2" hidden="1" x14ac:dyDescent="0.25">
      <c r="A2" t="s">
        <v>2</v>
      </c>
      <c r="B2">
        <v>1246</v>
      </c>
    </row>
    <row r="3" spans="1:2" hidden="1" x14ac:dyDescent="0.25">
      <c r="A3" t="s">
        <v>3</v>
      </c>
      <c r="B3">
        <v>1247</v>
      </c>
    </row>
    <row r="4" spans="1:2" hidden="1" x14ac:dyDescent="0.25">
      <c r="A4" t="s">
        <v>4</v>
      </c>
      <c r="B4">
        <v>1248</v>
      </c>
    </row>
    <row r="5" spans="1:2" hidden="1" x14ac:dyDescent="0.25">
      <c r="A5" t="s">
        <v>5</v>
      </c>
      <c r="B5">
        <v>1249</v>
      </c>
    </row>
    <row r="6" spans="1:2" hidden="1" x14ac:dyDescent="0.25">
      <c r="A6" t="s">
        <v>6</v>
      </c>
      <c r="B6">
        <v>1250</v>
      </c>
    </row>
    <row r="7" spans="1:2" hidden="1" x14ac:dyDescent="0.25">
      <c r="A7" t="s">
        <v>7</v>
      </c>
      <c r="B7">
        <v>1251</v>
      </c>
    </row>
    <row r="8" spans="1:2" hidden="1" x14ac:dyDescent="0.25">
      <c r="A8" t="s">
        <v>8</v>
      </c>
      <c r="B8">
        <v>1252</v>
      </c>
    </row>
    <row r="9" spans="1:2" hidden="1" x14ac:dyDescent="0.25">
      <c r="A9" t="s">
        <v>9</v>
      </c>
      <c r="B9">
        <v>1253</v>
      </c>
    </row>
    <row r="10" spans="1:2" hidden="1" x14ac:dyDescent="0.25">
      <c r="A10" t="s">
        <v>10</v>
      </c>
      <c r="B10">
        <v>1254</v>
      </c>
    </row>
    <row r="11" spans="1:2" hidden="1" x14ac:dyDescent="0.25">
      <c r="A11" t="s">
        <v>11</v>
      </c>
      <c r="B11">
        <v>1255</v>
      </c>
    </row>
    <row r="12" spans="1:2" x14ac:dyDescent="0.25">
      <c r="A12" t="s">
        <v>12</v>
      </c>
      <c r="B12">
        <v>1256</v>
      </c>
    </row>
    <row r="13" spans="1:2" hidden="1" x14ac:dyDescent="0.25">
      <c r="A13" t="s">
        <v>13</v>
      </c>
      <c r="B13">
        <v>1257</v>
      </c>
    </row>
    <row r="14" spans="1:2" hidden="1" x14ac:dyDescent="0.25">
      <c r="A14" t="s">
        <v>14</v>
      </c>
      <c r="B14">
        <v>1258</v>
      </c>
    </row>
    <row r="15" spans="1:2" hidden="1" x14ac:dyDescent="0.25">
      <c r="A15" t="s">
        <v>15</v>
      </c>
      <c r="B15">
        <v>1259</v>
      </c>
    </row>
    <row r="16" spans="1:2" hidden="1" x14ac:dyDescent="0.25">
      <c r="A16" t="s">
        <v>16</v>
      </c>
      <c r="B16">
        <v>1260</v>
      </c>
    </row>
    <row r="17" spans="1:2" hidden="1" x14ac:dyDescent="0.25">
      <c r="A17" t="s">
        <v>17</v>
      </c>
      <c r="B17">
        <v>1261</v>
      </c>
    </row>
    <row r="18" spans="1:2" hidden="1" x14ac:dyDescent="0.25">
      <c r="A18" t="s">
        <v>18</v>
      </c>
      <c r="B18">
        <v>1262</v>
      </c>
    </row>
    <row r="19" spans="1:2" hidden="1" x14ac:dyDescent="0.25">
      <c r="A19" t="s">
        <v>19</v>
      </c>
      <c r="B19">
        <v>1263</v>
      </c>
    </row>
    <row r="20" spans="1:2" hidden="1" x14ac:dyDescent="0.25">
      <c r="A20" t="s">
        <v>20</v>
      </c>
      <c r="B20">
        <v>1264</v>
      </c>
    </row>
    <row r="21" spans="1:2" hidden="1" x14ac:dyDescent="0.25">
      <c r="A21" t="s">
        <v>21</v>
      </c>
      <c r="B21">
        <v>1265</v>
      </c>
    </row>
    <row r="22" spans="1:2" hidden="1" x14ac:dyDescent="0.25">
      <c r="A22" t="s">
        <v>22</v>
      </c>
      <c r="B22">
        <v>1266</v>
      </c>
    </row>
    <row r="23" spans="1:2" hidden="1" x14ac:dyDescent="0.25">
      <c r="A23" t="s">
        <v>23</v>
      </c>
      <c r="B23">
        <v>1267</v>
      </c>
    </row>
    <row r="24" spans="1:2" hidden="1" x14ac:dyDescent="0.25">
      <c r="A24" t="s">
        <v>24</v>
      </c>
      <c r="B24">
        <v>1268</v>
      </c>
    </row>
    <row r="25" spans="1:2" hidden="1" x14ac:dyDescent="0.25">
      <c r="A25" t="s">
        <v>25</v>
      </c>
      <c r="B25">
        <v>1269</v>
      </c>
    </row>
    <row r="26" spans="1:2" hidden="1" x14ac:dyDescent="0.25">
      <c r="A26" t="s">
        <v>26</v>
      </c>
      <c r="B26">
        <v>1270</v>
      </c>
    </row>
    <row r="27" spans="1:2" hidden="1" x14ac:dyDescent="0.25">
      <c r="A27" t="s">
        <v>27</v>
      </c>
      <c r="B27">
        <v>1271</v>
      </c>
    </row>
    <row r="28" spans="1:2" hidden="1" x14ac:dyDescent="0.25">
      <c r="A28" t="s">
        <v>28</v>
      </c>
      <c r="B28">
        <v>1272</v>
      </c>
    </row>
    <row r="29" spans="1:2" hidden="1" x14ac:dyDescent="0.25">
      <c r="A29" t="s">
        <v>29</v>
      </c>
      <c r="B29">
        <v>1273</v>
      </c>
    </row>
    <row r="30" spans="1:2" hidden="1" x14ac:dyDescent="0.25">
      <c r="A30" t="s">
        <v>30</v>
      </c>
      <c r="B30">
        <v>1274</v>
      </c>
    </row>
    <row r="31" spans="1:2" hidden="1" x14ac:dyDescent="0.25">
      <c r="A31" t="s">
        <v>31</v>
      </c>
      <c r="B31">
        <v>1275</v>
      </c>
    </row>
    <row r="32" spans="1:2" hidden="1" x14ac:dyDescent="0.25">
      <c r="A32" t="s">
        <v>32</v>
      </c>
      <c r="B32">
        <v>1276</v>
      </c>
    </row>
    <row r="33" spans="1:2" hidden="1" x14ac:dyDescent="0.25">
      <c r="A33" t="s">
        <v>33</v>
      </c>
      <c r="B33">
        <v>1277</v>
      </c>
    </row>
    <row r="34" spans="1:2" hidden="1" x14ac:dyDescent="0.25">
      <c r="A34" t="s">
        <v>34</v>
      </c>
      <c r="B34">
        <v>1278</v>
      </c>
    </row>
    <row r="35" spans="1:2" hidden="1" x14ac:dyDescent="0.25">
      <c r="A35" t="s">
        <v>35</v>
      </c>
      <c r="B35">
        <v>1279</v>
      </c>
    </row>
    <row r="36" spans="1:2" hidden="1" x14ac:dyDescent="0.25">
      <c r="A36" t="s">
        <v>36</v>
      </c>
      <c r="B36">
        <v>1280</v>
      </c>
    </row>
    <row r="37" spans="1:2" hidden="1" x14ac:dyDescent="0.25">
      <c r="A37" t="s">
        <v>37</v>
      </c>
      <c r="B37">
        <v>1281</v>
      </c>
    </row>
    <row r="38" spans="1:2" hidden="1" x14ac:dyDescent="0.25">
      <c r="A38" t="s">
        <v>38</v>
      </c>
      <c r="B38">
        <v>1282</v>
      </c>
    </row>
    <row r="39" spans="1:2" hidden="1" x14ac:dyDescent="0.25">
      <c r="A39" t="s">
        <v>39</v>
      </c>
      <c r="B39">
        <v>1283</v>
      </c>
    </row>
    <row r="40" spans="1:2" hidden="1" x14ac:dyDescent="0.25">
      <c r="A40" t="s">
        <v>40</v>
      </c>
      <c r="B40">
        <v>1284</v>
      </c>
    </row>
    <row r="41" spans="1:2" hidden="1" x14ac:dyDescent="0.25">
      <c r="A41" t="s">
        <v>41</v>
      </c>
      <c r="B41">
        <v>1285</v>
      </c>
    </row>
    <row r="42" spans="1:2" hidden="1" x14ac:dyDescent="0.25">
      <c r="A42" t="s">
        <v>42</v>
      </c>
      <c r="B42">
        <v>1286</v>
      </c>
    </row>
    <row r="43" spans="1:2" hidden="1" x14ac:dyDescent="0.25">
      <c r="A43" t="s">
        <v>43</v>
      </c>
      <c r="B43">
        <v>1287</v>
      </c>
    </row>
    <row r="44" spans="1:2" hidden="1" x14ac:dyDescent="0.25">
      <c r="A44" t="s">
        <v>44</v>
      </c>
      <c r="B44">
        <v>1288</v>
      </c>
    </row>
    <row r="45" spans="1:2" hidden="1" x14ac:dyDescent="0.25">
      <c r="A45" t="s">
        <v>45</v>
      </c>
      <c r="B45">
        <v>1289</v>
      </c>
    </row>
    <row r="46" spans="1:2" hidden="1" x14ac:dyDescent="0.25">
      <c r="A46" t="s">
        <v>46</v>
      </c>
      <c r="B46">
        <v>1290</v>
      </c>
    </row>
    <row r="47" spans="1:2" hidden="1" x14ac:dyDescent="0.25">
      <c r="A47" t="s">
        <v>47</v>
      </c>
      <c r="B47">
        <v>1291</v>
      </c>
    </row>
    <row r="48" spans="1:2" hidden="1" x14ac:dyDescent="0.25">
      <c r="A48" t="s">
        <v>48</v>
      </c>
      <c r="B48">
        <v>1292</v>
      </c>
    </row>
    <row r="49" spans="1:2" hidden="1" x14ac:dyDescent="0.25">
      <c r="A49" t="s">
        <v>49</v>
      </c>
      <c r="B49">
        <v>1293</v>
      </c>
    </row>
    <row r="50" spans="1:2" hidden="1" x14ac:dyDescent="0.25">
      <c r="A50" t="s">
        <v>50</v>
      </c>
      <c r="B50">
        <v>1294</v>
      </c>
    </row>
    <row r="51" spans="1:2" hidden="1" x14ac:dyDescent="0.25">
      <c r="A51" t="s">
        <v>51</v>
      </c>
      <c r="B51">
        <v>1295</v>
      </c>
    </row>
    <row r="52" spans="1:2" hidden="1" x14ac:dyDescent="0.25">
      <c r="A52" t="s">
        <v>52</v>
      </c>
      <c r="B52">
        <v>1296</v>
      </c>
    </row>
    <row r="53" spans="1:2" hidden="1" x14ac:dyDescent="0.25">
      <c r="A53" t="s">
        <v>53</v>
      </c>
      <c r="B53">
        <v>1297</v>
      </c>
    </row>
    <row r="54" spans="1:2" hidden="1" x14ac:dyDescent="0.25">
      <c r="A54" t="s">
        <v>54</v>
      </c>
      <c r="B54">
        <v>1298</v>
      </c>
    </row>
    <row r="55" spans="1:2" hidden="1" x14ac:dyDescent="0.25">
      <c r="A55" t="s">
        <v>55</v>
      </c>
      <c r="B55">
        <v>1299</v>
      </c>
    </row>
    <row r="56" spans="1:2" hidden="1" x14ac:dyDescent="0.25">
      <c r="A56" t="s">
        <v>56</v>
      </c>
      <c r="B56">
        <v>1300</v>
      </c>
    </row>
    <row r="57" spans="1:2" hidden="1" x14ac:dyDescent="0.25">
      <c r="A57" t="s">
        <v>57</v>
      </c>
      <c r="B57">
        <v>1301</v>
      </c>
    </row>
    <row r="58" spans="1:2" hidden="1" x14ac:dyDescent="0.25">
      <c r="A58" t="s">
        <v>58</v>
      </c>
      <c r="B58">
        <v>1302</v>
      </c>
    </row>
    <row r="59" spans="1:2" hidden="1" x14ac:dyDescent="0.25">
      <c r="A59" t="s">
        <v>59</v>
      </c>
      <c r="B59">
        <v>1303</v>
      </c>
    </row>
    <row r="60" spans="1:2" hidden="1" x14ac:dyDescent="0.25">
      <c r="A60" t="s">
        <v>60</v>
      </c>
      <c r="B60">
        <v>1304</v>
      </c>
    </row>
    <row r="61" spans="1:2" hidden="1" x14ac:dyDescent="0.25">
      <c r="A61" t="s">
        <v>61</v>
      </c>
      <c r="B61">
        <v>1305</v>
      </c>
    </row>
    <row r="62" spans="1:2" hidden="1" x14ac:dyDescent="0.25">
      <c r="A62" t="s">
        <v>62</v>
      </c>
      <c r="B62">
        <v>1306</v>
      </c>
    </row>
    <row r="63" spans="1:2" hidden="1" x14ac:dyDescent="0.25">
      <c r="A63" t="s">
        <v>63</v>
      </c>
      <c r="B63">
        <v>1307</v>
      </c>
    </row>
    <row r="64" spans="1:2" hidden="1" x14ac:dyDescent="0.25">
      <c r="A64" t="s">
        <v>64</v>
      </c>
      <c r="B64">
        <v>1308</v>
      </c>
    </row>
    <row r="65" spans="1:2" hidden="1" x14ac:dyDescent="0.25">
      <c r="A65" t="s">
        <v>65</v>
      </c>
      <c r="B65">
        <v>1309</v>
      </c>
    </row>
    <row r="66" spans="1:2" hidden="1" x14ac:dyDescent="0.25">
      <c r="A66" t="s">
        <v>66</v>
      </c>
      <c r="B66">
        <v>1310</v>
      </c>
    </row>
    <row r="67" spans="1:2" hidden="1" x14ac:dyDescent="0.25">
      <c r="A67" t="s">
        <v>67</v>
      </c>
      <c r="B67">
        <v>1311</v>
      </c>
    </row>
    <row r="68" spans="1:2" hidden="1" x14ac:dyDescent="0.25">
      <c r="A68" t="s">
        <v>68</v>
      </c>
      <c r="B68">
        <v>1312</v>
      </c>
    </row>
    <row r="69" spans="1:2" hidden="1" x14ac:dyDescent="0.25">
      <c r="A69" t="s">
        <v>69</v>
      </c>
      <c r="B69">
        <v>1313</v>
      </c>
    </row>
    <row r="70" spans="1:2" hidden="1" x14ac:dyDescent="0.25">
      <c r="A70" t="s">
        <v>70</v>
      </c>
      <c r="B70">
        <v>1314</v>
      </c>
    </row>
    <row r="71" spans="1:2" hidden="1" x14ac:dyDescent="0.25">
      <c r="A71" t="s">
        <v>71</v>
      </c>
      <c r="B71">
        <v>1315</v>
      </c>
    </row>
    <row r="72" spans="1:2" hidden="1" x14ac:dyDescent="0.25">
      <c r="A72" t="s">
        <v>72</v>
      </c>
      <c r="B72">
        <v>1316</v>
      </c>
    </row>
  </sheetData>
  <autoFilter ref="A1:B72" xr:uid="{00000000-0001-0000-0000-000000000000}">
    <filterColumn colId="0">
      <filters>
        <filter val="Taux de satisfaction des usagers des services judiciaire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A6" sqref="A6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73</v>
      </c>
      <c r="B2">
        <v>2</v>
      </c>
    </row>
    <row r="3" spans="1:2" x14ac:dyDescent="0.25">
      <c r="A3" t="s">
        <v>74</v>
      </c>
      <c r="B3">
        <v>1</v>
      </c>
    </row>
    <row r="4" spans="1:2" x14ac:dyDescent="0.25">
      <c r="A4" t="s">
        <v>75</v>
      </c>
      <c r="B4">
        <v>3</v>
      </c>
    </row>
    <row r="5" spans="1:2" x14ac:dyDescent="0.25">
      <c r="A5" t="s">
        <v>76</v>
      </c>
      <c r="B5">
        <v>5</v>
      </c>
    </row>
    <row r="6" spans="1:2" x14ac:dyDescent="0.25">
      <c r="A6" t="s">
        <v>77</v>
      </c>
      <c r="B6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B48"/>
  <sheetViews>
    <sheetView workbookViewId="0">
      <selection activeCell="A40" sqref="A40"/>
    </sheetView>
  </sheetViews>
  <sheetFormatPr baseColWidth="10" defaultColWidth="9.140625" defaultRowHeight="15" x14ac:dyDescent="0.25"/>
  <cols>
    <col min="1" max="1" width="79.42578125" bestFit="1" customWidth="1"/>
  </cols>
  <sheetData>
    <row r="1" spans="1:2" x14ac:dyDescent="0.25">
      <c r="A1" t="s">
        <v>0</v>
      </c>
      <c r="B1" t="s">
        <v>1</v>
      </c>
    </row>
    <row r="2" spans="1:2" hidden="1" x14ac:dyDescent="0.25">
      <c r="A2" t="s">
        <v>78</v>
      </c>
      <c r="B2">
        <v>4</v>
      </c>
    </row>
    <row r="3" spans="1:2" hidden="1" x14ac:dyDescent="0.25">
      <c r="A3" t="s">
        <v>79</v>
      </c>
      <c r="B3">
        <v>5</v>
      </c>
    </row>
    <row r="4" spans="1:2" hidden="1" x14ac:dyDescent="0.25">
      <c r="A4" t="s">
        <v>80</v>
      </c>
      <c r="B4">
        <v>6</v>
      </c>
    </row>
    <row r="5" spans="1:2" hidden="1" x14ac:dyDescent="0.25">
      <c r="A5" t="s">
        <v>81</v>
      </c>
      <c r="B5">
        <v>7</v>
      </c>
    </row>
    <row r="6" spans="1:2" hidden="1" x14ac:dyDescent="0.25">
      <c r="A6" t="s">
        <v>82</v>
      </c>
      <c r="B6">
        <v>8</v>
      </c>
    </row>
    <row r="7" spans="1:2" hidden="1" x14ac:dyDescent="0.25">
      <c r="A7" t="s">
        <v>83</v>
      </c>
      <c r="B7">
        <v>9</v>
      </c>
    </row>
    <row r="8" spans="1:2" hidden="1" x14ac:dyDescent="0.25">
      <c r="A8" t="s">
        <v>84</v>
      </c>
      <c r="B8">
        <v>10</v>
      </c>
    </row>
    <row r="9" spans="1:2" hidden="1" x14ac:dyDescent="0.25">
      <c r="A9" t="s">
        <v>85</v>
      </c>
      <c r="B9">
        <v>11</v>
      </c>
    </row>
    <row r="10" spans="1:2" hidden="1" x14ac:dyDescent="0.25">
      <c r="A10" t="s">
        <v>86</v>
      </c>
      <c r="B10">
        <v>12</v>
      </c>
    </row>
    <row r="11" spans="1:2" hidden="1" x14ac:dyDescent="0.25">
      <c r="A11" t="s">
        <v>87</v>
      </c>
      <c r="B11">
        <v>13</v>
      </c>
    </row>
    <row r="12" spans="1:2" hidden="1" x14ac:dyDescent="0.25">
      <c r="A12" t="s">
        <v>88</v>
      </c>
      <c r="B12">
        <v>14</v>
      </c>
    </row>
    <row r="13" spans="1:2" hidden="1" x14ac:dyDescent="0.25">
      <c r="A13" t="s">
        <v>89</v>
      </c>
      <c r="B13">
        <v>15</v>
      </c>
    </row>
    <row r="14" spans="1:2" hidden="1" x14ac:dyDescent="0.25">
      <c r="A14" t="s">
        <v>90</v>
      </c>
      <c r="B14">
        <v>16</v>
      </c>
    </row>
    <row r="15" spans="1:2" hidden="1" x14ac:dyDescent="0.25">
      <c r="A15" t="s">
        <v>91</v>
      </c>
      <c r="B15">
        <v>17</v>
      </c>
    </row>
    <row r="16" spans="1:2" hidden="1" x14ac:dyDescent="0.25">
      <c r="A16" t="s">
        <v>92</v>
      </c>
      <c r="B16">
        <v>18</v>
      </c>
    </row>
    <row r="17" spans="1:2" hidden="1" x14ac:dyDescent="0.25">
      <c r="A17" t="s">
        <v>93</v>
      </c>
      <c r="B17">
        <v>19</v>
      </c>
    </row>
    <row r="18" spans="1:2" hidden="1" x14ac:dyDescent="0.25">
      <c r="A18" t="s">
        <v>94</v>
      </c>
      <c r="B18">
        <v>20</v>
      </c>
    </row>
    <row r="19" spans="1:2" hidden="1" x14ac:dyDescent="0.25">
      <c r="A19" t="s">
        <v>95</v>
      </c>
      <c r="B19">
        <v>21</v>
      </c>
    </row>
    <row r="20" spans="1:2" hidden="1" x14ac:dyDescent="0.25">
      <c r="A20" t="s">
        <v>96</v>
      </c>
      <c r="B20">
        <v>22</v>
      </c>
    </row>
    <row r="21" spans="1:2" hidden="1" x14ac:dyDescent="0.25">
      <c r="A21" t="s">
        <v>97</v>
      </c>
      <c r="B21">
        <v>23</v>
      </c>
    </row>
    <row r="22" spans="1:2" hidden="1" x14ac:dyDescent="0.25">
      <c r="A22" t="s">
        <v>98</v>
      </c>
      <c r="B22">
        <v>24</v>
      </c>
    </row>
    <row r="23" spans="1:2" hidden="1" x14ac:dyDescent="0.25">
      <c r="A23" t="s">
        <v>99</v>
      </c>
      <c r="B23">
        <v>25</v>
      </c>
    </row>
    <row r="24" spans="1:2" hidden="1" x14ac:dyDescent="0.25">
      <c r="A24" t="s">
        <v>100</v>
      </c>
      <c r="B24">
        <v>26</v>
      </c>
    </row>
    <row r="25" spans="1:2" hidden="1" x14ac:dyDescent="0.25">
      <c r="A25" t="s">
        <v>101</v>
      </c>
      <c r="B25">
        <v>27</v>
      </c>
    </row>
    <row r="26" spans="1:2" hidden="1" x14ac:dyDescent="0.25">
      <c r="A26" t="s">
        <v>102</v>
      </c>
      <c r="B26">
        <v>28</v>
      </c>
    </row>
    <row r="27" spans="1:2" hidden="1" x14ac:dyDescent="0.25">
      <c r="A27" t="s">
        <v>103</v>
      </c>
      <c r="B27">
        <v>29</v>
      </c>
    </row>
    <row r="28" spans="1:2" hidden="1" x14ac:dyDescent="0.25">
      <c r="A28" s="4" t="s">
        <v>104</v>
      </c>
      <c r="B28">
        <v>30</v>
      </c>
    </row>
    <row r="29" spans="1:2" hidden="1" x14ac:dyDescent="0.25">
      <c r="A29" t="s">
        <v>105</v>
      </c>
      <c r="B29">
        <v>31</v>
      </c>
    </row>
    <row r="30" spans="1:2" hidden="1" x14ac:dyDescent="0.25">
      <c r="A30" t="s">
        <v>106</v>
      </c>
      <c r="B30">
        <v>32</v>
      </c>
    </row>
    <row r="31" spans="1:2" hidden="1" x14ac:dyDescent="0.25">
      <c r="A31" t="s">
        <v>107</v>
      </c>
      <c r="B31">
        <v>33</v>
      </c>
    </row>
    <row r="32" spans="1:2" hidden="1" x14ac:dyDescent="0.25">
      <c r="A32" t="s">
        <v>108</v>
      </c>
      <c r="B32">
        <v>34</v>
      </c>
    </row>
    <row r="33" spans="1:2" hidden="1" x14ac:dyDescent="0.25">
      <c r="A33" t="s">
        <v>109</v>
      </c>
      <c r="B33">
        <v>35</v>
      </c>
    </row>
    <row r="34" spans="1:2" hidden="1" x14ac:dyDescent="0.25">
      <c r="A34" t="s">
        <v>110</v>
      </c>
      <c r="B34">
        <v>36</v>
      </c>
    </row>
    <row r="35" spans="1:2" hidden="1" x14ac:dyDescent="0.25">
      <c r="A35" t="s">
        <v>111</v>
      </c>
      <c r="B35">
        <v>37</v>
      </c>
    </row>
    <row r="36" spans="1:2" hidden="1" x14ac:dyDescent="0.25">
      <c r="A36" t="s">
        <v>112</v>
      </c>
      <c r="B36">
        <v>38</v>
      </c>
    </row>
    <row r="37" spans="1:2" hidden="1" x14ac:dyDescent="0.25">
      <c r="A37" t="s">
        <v>113</v>
      </c>
      <c r="B37">
        <v>39</v>
      </c>
    </row>
    <row r="38" spans="1:2" hidden="1" x14ac:dyDescent="0.25">
      <c r="A38" t="s">
        <v>114</v>
      </c>
      <c r="B38">
        <v>40</v>
      </c>
    </row>
    <row r="39" spans="1:2" hidden="1" x14ac:dyDescent="0.25">
      <c r="A39" t="s">
        <v>115</v>
      </c>
      <c r="B39">
        <v>41</v>
      </c>
    </row>
    <row r="40" spans="1:2" x14ac:dyDescent="0.25">
      <c r="A40" t="s">
        <v>116</v>
      </c>
      <c r="B40">
        <v>42</v>
      </c>
    </row>
    <row r="41" spans="1:2" hidden="1" x14ac:dyDescent="0.25">
      <c r="A41" t="s">
        <v>117</v>
      </c>
      <c r="B41">
        <v>43</v>
      </c>
    </row>
    <row r="42" spans="1:2" hidden="1" x14ac:dyDescent="0.25">
      <c r="A42" t="s">
        <v>118</v>
      </c>
      <c r="B42">
        <v>44</v>
      </c>
    </row>
    <row r="43" spans="1:2" hidden="1" x14ac:dyDescent="0.25">
      <c r="A43" t="s">
        <v>119</v>
      </c>
      <c r="B43">
        <v>45</v>
      </c>
    </row>
    <row r="44" spans="1:2" hidden="1" x14ac:dyDescent="0.25">
      <c r="A44" t="s">
        <v>120</v>
      </c>
      <c r="B44">
        <v>46</v>
      </c>
    </row>
    <row r="45" spans="1:2" hidden="1" x14ac:dyDescent="0.25">
      <c r="A45" t="s">
        <v>121</v>
      </c>
      <c r="B45">
        <v>47</v>
      </c>
    </row>
    <row r="46" spans="1:2" hidden="1" x14ac:dyDescent="0.25">
      <c r="A46" t="s">
        <v>122</v>
      </c>
      <c r="B46">
        <v>48</v>
      </c>
    </row>
    <row r="47" spans="1:2" hidden="1" x14ac:dyDescent="0.25">
      <c r="A47" t="s">
        <v>123</v>
      </c>
      <c r="B47">
        <v>49</v>
      </c>
    </row>
    <row r="48" spans="1:2" hidden="1" x14ac:dyDescent="0.25">
      <c r="A48" t="s">
        <v>124</v>
      </c>
      <c r="B48">
        <v>50</v>
      </c>
    </row>
  </sheetData>
  <autoFilter ref="A1:B48" xr:uid="{00000000-0001-0000-0200-000000000000}">
    <filterColumn colId="0">
      <filters>
        <filter val="Rapport d'évaluation, 2024, du PGDISS 2016-2020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125</v>
      </c>
      <c r="B2">
        <v>4</v>
      </c>
    </row>
    <row r="3" spans="1:2" x14ac:dyDescent="0.25">
      <c r="A3" t="s">
        <v>126</v>
      </c>
      <c r="B3">
        <v>5</v>
      </c>
    </row>
    <row r="4" spans="1:2" x14ac:dyDescent="0.25">
      <c r="A4" t="s">
        <v>127</v>
      </c>
      <c r="B4">
        <v>6</v>
      </c>
    </row>
    <row r="5" spans="1:2" x14ac:dyDescent="0.25">
      <c r="A5" t="s">
        <v>128</v>
      </c>
      <c r="B5">
        <v>7</v>
      </c>
    </row>
    <row r="6" spans="1:2" x14ac:dyDescent="0.25">
      <c r="A6" t="s">
        <v>129</v>
      </c>
      <c r="B6">
        <v>8</v>
      </c>
    </row>
    <row r="7" spans="1:2" x14ac:dyDescent="0.25">
      <c r="A7" t="s">
        <v>130</v>
      </c>
      <c r="B7">
        <v>9</v>
      </c>
    </row>
    <row r="8" spans="1:2" x14ac:dyDescent="0.25">
      <c r="A8" t="s">
        <v>131</v>
      </c>
      <c r="B8">
        <v>10</v>
      </c>
    </row>
    <row r="9" spans="1:2" x14ac:dyDescent="0.25">
      <c r="A9" t="s">
        <v>132</v>
      </c>
      <c r="B9">
        <v>11</v>
      </c>
    </row>
    <row r="10" spans="1:2" x14ac:dyDescent="0.25">
      <c r="A10" t="s">
        <v>133</v>
      </c>
      <c r="B10">
        <v>12</v>
      </c>
    </row>
    <row r="11" spans="1:2" x14ac:dyDescent="0.25">
      <c r="A11" t="s">
        <v>134</v>
      </c>
      <c r="B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0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135</v>
      </c>
    </row>
    <row r="2" spans="1:3" x14ac:dyDescent="0.25">
      <c r="A2" t="s">
        <v>136</v>
      </c>
      <c r="B2">
        <v>1</v>
      </c>
      <c r="C2">
        <v>1</v>
      </c>
    </row>
    <row r="3" spans="1:3" x14ac:dyDescent="0.25">
      <c r="A3" t="s">
        <v>137</v>
      </c>
      <c r="B3">
        <v>2</v>
      </c>
      <c r="C3">
        <v>2</v>
      </c>
    </row>
    <row r="4" spans="1:3" x14ac:dyDescent="0.25">
      <c r="A4" t="s">
        <v>138</v>
      </c>
      <c r="B4">
        <v>3</v>
      </c>
      <c r="C4">
        <v>2</v>
      </c>
    </row>
    <row r="5" spans="1:3" x14ac:dyDescent="0.25">
      <c r="A5" t="s">
        <v>139</v>
      </c>
      <c r="B5">
        <v>4</v>
      </c>
      <c r="C5">
        <v>2</v>
      </c>
    </row>
    <row r="6" spans="1:3" x14ac:dyDescent="0.25">
      <c r="A6" t="s">
        <v>140</v>
      </c>
      <c r="B6">
        <v>5</v>
      </c>
      <c r="C6">
        <v>2</v>
      </c>
    </row>
    <row r="7" spans="1:3" x14ac:dyDescent="0.25">
      <c r="A7" t="s">
        <v>141</v>
      </c>
      <c r="B7">
        <v>6</v>
      </c>
      <c r="C7">
        <v>2</v>
      </c>
    </row>
    <row r="8" spans="1:3" x14ac:dyDescent="0.25">
      <c r="A8" t="s">
        <v>142</v>
      </c>
      <c r="B8">
        <v>7</v>
      </c>
      <c r="C8">
        <v>2</v>
      </c>
    </row>
    <row r="9" spans="1:3" x14ac:dyDescent="0.25">
      <c r="A9" t="s">
        <v>143</v>
      </c>
      <c r="B9">
        <v>8</v>
      </c>
      <c r="C9">
        <v>3</v>
      </c>
    </row>
    <row r="10" spans="1:3" x14ac:dyDescent="0.25">
      <c r="A10" t="s">
        <v>144</v>
      </c>
      <c r="B10">
        <v>9</v>
      </c>
      <c r="C10">
        <v>3</v>
      </c>
    </row>
    <row r="11" spans="1:3" x14ac:dyDescent="0.25">
      <c r="A11" t="s">
        <v>145</v>
      </c>
      <c r="B11">
        <v>10</v>
      </c>
      <c r="C11">
        <v>3</v>
      </c>
    </row>
    <row r="12" spans="1:3" x14ac:dyDescent="0.25">
      <c r="A12" t="s">
        <v>140</v>
      </c>
      <c r="B12">
        <v>11</v>
      </c>
      <c r="C12">
        <v>3</v>
      </c>
    </row>
    <row r="13" spans="1:3" x14ac:dyDescent="0.25">
      <c r="A13" t="s">
        <v>146</v>
      </c>
      <c r="B13">
        <v>13</v>
      </c>
      <c r="C13">
        <v>3</v>
      </c>
    </row>
    <row r="14" spans="1:3" x14ac:dyDescent="0.25">
      <c r="A14" t="s">
        <v>147</v>
      </c>
      <c r="B14">
        <v>14</v>
      </c>
      <c r="C14">
        <v>3</v>
      </c>
    </row>
    <row r="15" spans="1:3" x14ac:dyDescent="0.25">
      <c r="A15" t="s">
        <v>148</v>
      </c>
      <c r="B15">
        <v>15</v>
      </c>
      <c r="C15">
        <v>3</v>
      </c>
    </row>
    <row r="16" spans="1:3" x14ac:dyDescent="0.25">
      <c r="A16" t="s">
        <v>149</v>
      </c>
      <c r="B16">
        <v>16</v>
      </c>
      <c r="C16">
        <v>3</v>
      </c>
    </row>
    <row r="17" spans="1:3" x14ac:dyDescent="0.25">
      <c r="A17" t="s">
        <v>150</v>
      </c>
      <c r="B17">
        <v>17</v>
      </c>
      <c r="C17">
        <v>3</v>
      </c>
    </row>
    <row r="18" spans="1:3" x14ac:dyDescent="0.25">
      <c r="A18" t="s">
        <v>151</v>
      </c>
      <c r="B18">
        <v>18</v>
      </c>
      <c r="C18">
        <v>3</v>
      </c>
    </row>
    <row r="19" spans="1:3" x14ac:dyDescent="0.25">
      <c r="A19" t="s">
        <v>152</v>
      </c>
      <c r="B19">
        <v>19</v>
      </c>
      <c r="C19">
        <v>3</v>
      </c>
    </row>
    <row r="20" spans="1:3" x14ac:dyDescent="0.25">
      <c r="A20" t="s">
        <v>153</v>
      </c>
      <c r="B20">
        <v>20</v>
      </c>
      <c r="C20">
        <v>3</v>
      </c>
    </row>
    <row r="21" spans="1:3" x14ac:dyDescent="0.25">
      <c r="A21" t="s">
        <v>154</v>
      </c>
      <c r="B21">
        <v>21</v>
      </c>
      <c r="C21">
        <v>3</v>
      </c>
    </row>
    <row r="22" spans="1:3" x14ac:dyDescent="0.25">
      <c r="A22" t="s">
        <v>155</v>
      </c>
      <c r="B22">
        <v>22</v>
      </c>
      <c r="C22">
        <v>3</v>
      </c>
    </row>
    <row r="23" spans="1:3" x14ac:dyDescent="0.25">
      <c r="A23" t="s">
        <v>138</v>
      </c>
      <c r="B23">
        <v>23</v>
      </c>
      <c r="C23">
        <v>3</v>
      </c>
    </row>
    <row r="24" spans="1:3" x14ac:dyDescent="0.25">
      <c r="A24" t="s">
        <v>156</v>
      </c>
      <c r="B24">
        <v>24</v>
      </c>
      <c r="C24">
        <v>3</v>
      </c>
    </row>
    <row r="25" spans="1:3" x14ac:dyDescent="0.25">
      <c r="A25" t="s">
        <v>157</v>
      </c>
      <c r="B25">
        <v>25</v>
      </c>
      <c r="C25">
        <v>3</v>
      </c>
    </row>
    <row r="26" spans="1:3" x14ac:dyDescent="0.25">
      <c r="A26" t="s">
        <v>158</v>
      </c>
      <c r="B26">
        <v>26</v>
      </c>
      <c r="C26">
        <v>3</v>
      </c>
    </row>
    <row r="27" spans="1:3" x14ac:dyDescent="0.25">
      <c r="A27" t="s">
        <v>159</v>
      </c>
      <c r="B27">
        <v>27</v>
      </c>
      <c r="C27">
        <v>3</v>
      </c>
    </row>
    <row r="28" spans="1:3" x14ac:dyDescent="0.25">
      <c r="A28" t="s">
        <v>160</v>
      </c>
      <c r="B28">
        <v>28</v>
      </c>
      <c r="C28">
        <v>3</v>
      </c>
    </row>
    <row r="29" spans="1:3" x14ac:dyDescent="0.25">
      <c r="A29" t="s">
        <v>161</v>
      </c>
      <c r="B29">
        <v>29</v>
      </c>
      <c r="C29">
        <v>3</v>
      </c>
    </row>
    <row r="30" spans="1:3" x14ac:dyDescent="0.25">
      <c r="A30" t="s">
        <v>162</v>
      </c>
      <c r="B30">
        <v>30</v>
      </c>
      <c r="C30">
        <v>3</v>
      </c>
    </row>
    <row r="31" spans="1:3" x14ac:dyDescent="0.25">
      <c r="A31" t="s">
        <v>163</v>
      </c>
      <c r="B31">
        <v>31</v>
      </c>
      <c r="C31">
        <v>3</v>
      </c>
    </row>
    <row r="32" spans="1:3" x14ac:dyDescent="0.25">
      <c r="A32" t="s">
        <v>164</v>
      </c>
      <c r="B32">
        <v>32</v>
      </c>
      <c r="C32">
        <v>3</v>
      </c>
    </row>
    <row r="33" spans="1:3" x14ac:dyDescent="0.25">
      <c r="A33" t="s">
        <v>165</v>
      </c>
      <c r="B33">
        <v>33</v>
      </c>
      <c r="C33">
        <v>3</v>
      </c>
    </row>
    <row r="34" spans="1:3" x14ac:dyDescent="0.25">
      <c r="A34" t="s">
        <v>166</v>
      </c>
      <c r="B34">
        <v>34</v>
      </c>
      <c r="C34">
        <v>3</v>
      </c>
    </row>
    <row r="35" spans="1:3" x14ac:dyDescent="0.25">
      <c r="A35" t="s">
        <v>167</v>
      </c>
      <c r="B35">
        <v>35</v>
      </c>
      <c r="C35">
        <v>3</v>
      </c>
    </row>
    <row r="36" spans="1:3" x14ac:dyDescent="0.25">
      <c r="A36" t="s">
        <v>142</v>
      </c>
      <c r="B36">
        <v>36</v>
      </c>
      <c r="C36">
        <v>3</v>
      </c>
    </row>
    <row r="37" spans="1:3" x14ac:dyDescent="0.25">
      <c r="A37" t="s">
        <v>168</v>
      </c>
      <c r="B37">
        <v>37</v>
      </c>
      <c r="C37">
        <v>3</v>
      </c>
    </row>
    <row r="38" spans="1:3" x14ac:dyDescent="0.25">
      <c r="A38" t="s">
        <v>169</v>
      </c>
      <c r="B38">
        <v>38</v>
      </c>
      <c r="C38">
        <v>3</v>
      </c>
    </row>
    <row r="39" spans="1:3" x14ac:dyDescent="0.25">
      <c r="A39" t="s">
        <v>170</v>
      </c>
      <c r="B39">
        <v>41</v>
      </c>
      <c r="C39">
        <v>3</v>
      </c>
    </row>
    <row r="40" spans="1:3" x14ac:dyDescent="0.25">
      <c r="A40" t="s">
        <v>171</v>
      </c>
      <c r="B40">
        <v>42</v>
      </c>
      <c r="C40">
        <v>3</v>
      </c>
    </row>
    <row r="41" spans="1:3" x14ac:dyDescent="0.25">
      <c r="A41" t="s">
        <v>172</v>
      </c>
      <c r="B41">
        <v>43</v>
      </c>
      <c r="C41">
        <v>3</v>
      </c>
    </row>
    <row r="42" spans="1:3" x14ac:dyDescent="0.25">
      <c r="A42" t="s">
        <v>173</v>
      </c>
      <c r="B42">
        <v>44</v>
      </c>
      <c r="C42">
        <v>3</v>
      </c>
    </row>
    <row r="43" spans="1:3" x14ac:dyDescent="0.25">
      <c r="A43" t="s">
        <v>174</v>
      </c>
      <c r="B43">
        <v>45</v>
      </c>
      <c r="C43">
        <v>3</v>
      </c>
    </row>
    <row r="44" spans="1:3" x14ac:dyDescent="0.25">
      <c r="A44" t="s">
        <v>175</v>
      </c>
      <c r="B44">
        <v>46</v>
      </c>
      <c r="C44">
        <v>3</v>
      </c>
    </row>
    <row r="45" spans="1:3" x14ac:dyDescent="0.25">
      <c r="A45" t="s">
        <v>176</v>
      </c>
      <c r="B45">
        <v>47</v>
      </c>
      <c r="C45">
        <v>4</v>
      </c>
    </row>
    <row r="46" spans="1:3" x14ac:dyDescent="0.25">
      <c r="A46" t="s">
        <v>177</v>
      </c>
      <c r="B46">
        <v>48</v>
      </c>
      <c r="C46">
        <v>4</v>
      </c>
    </row>
    <row r="47" spans="1:3" x14ac:dyDescent="0.25">
      <c r="A47" t="s">
        <v>178</v>
      </c>
      <c r="B47">
        <v>49</v>
      </c>
      <c r="C47">
        <v>4</v>
      </c>
    </row>
    <row r="48" spans="1:3" x14ac:dyDescent="0.25">
      <c r="A48" t="s">
        <v>179</v>
      </c>
      <c r="B48">
        <v>50</v>
      </c>
      <c r="C48">
        <v>4</v>
      </c>
    </row>
    <row r="49" spans="1:3" x14ac:dyDescent="0.25">
      <c r="A49" t="s">
        <v>180</v>
      </c>
      <c r="B49">
        <v>51</v>
      </c>
      <c r="C49">
        <v>4</v>
      </c>
    </row>
    <row r="50" spans="1:3" x14ac:dyDescent="0.25">
      <c r="A50" t="s">
        <v>181</v>
      </c>
      <c r="B50">
        <v>52</v>
      </c>
      <c r="C50">
        <v>4</v>
      </c>
    </row>
    <row r="51" spans="1:3" x14ac:dyDescent="0.25">
      <c r="A51" t="s">
        <v>182</v>
      </c>
      <c r="B51">
        <v>53</v>
      </c>
      <c r="C51">
        <v>4</v>
      </c>
    </row>
    <row r="52" spans="1:3" x14ac:dyDescent="0.25">
      <c r="A52" t="s">
        <v>145</v>
      </c>
      <c r="B52">
        <v>54</v>
      </c>
      <c r="C52">
        <v>4</v>
      </c>
    </row>
    <row r="53" spans="1:3" x14ac:dyDescent="0.25">
      <c r="A53" t="s">
        <v>146</v>
      </c>
      <c r="B53">
        <v>57</v>
      </c>
      <c r="C53">
        <v>4</v>
      </c>
    </row>
    <row r="54" spans="1:3" x14ac:dyDescent="0.25">
      <c r="A54" t="s">
        <v>147</v>
      </c>
      <c r="B54">
        <v>58</v>
      </c>
      <c r="C54">
        <v>4</v>
      </c>
    </row>
    <row r="55" spans="1:3" x14ac:dyDescent="0.25">
      <c r="A55" t="s">
        <v>183</v>
      </c>
      <c r="B55">
        <v>59</v>
      </c>
      <c r="C55">
        <v>4</v>
      </c>
    </row>
    <row r="56" spans="1:3" x14ac:dyDescent="0.25">
      <c r="A56" t="s">
        <v>184</v>
      </c>
      <c r="B56">
        <v>60</v>
      </c>
      <c r="C56">
        <v>4</v>
      </c>
    </row>
    <row r="57" spans="1:3" x14ac:dyDescent="0.25">
      <c r="A57" t="s">
        <v>148</v>
      </c>
      <c r="B57">
        <v>61</v>
      </c>
      <c r="C57">
        <v>4</v>
      </c>
    </row>
    <row r="58" spans="1:3" x14ac:dyDescent="0.25">
      <c r="A58" t="s">
        <v>185</v>
      </c>
      <c r="B58">
        <v>64</v>
      </c>
      <c r="C58">
        <v>4</v>
      </c>
    </row>
    <row r="59" spans="1:3" x14ac:dyDescent="0.25">
      <c r="A59" t="s">
        <v>186</v>
      </c>
      <c r="B59">
        <v>65</v>
      </c>
      <c r="C59">
        <v>4</v>
      </c>
    </row>
    <row r="60" spans="1:3" x14ac:dyDescent="0.25">
      <c r="A60" t="s">
        <v>187</v>
      </c>
      <c r="B60">
        <v>66</v>
      </c>
      <c r="C60">
        <v>4</v>
      </c>
    </row>
    <row r="61" spans="1:3" x14ac:dyDescent="0.25">
      <c r="A61" t="s">
        <v>188</v>
      </c>
      <c r="B61">
        <v>67</v>
      </c>
      <c r="C61">
        <v>4</v>
      </c>
    </row>
    <row r="62" spans="1:3" x14ac:dyDescent="0.25">
      <c r="A62" t="s">
        <v>189</v>
      </c>
      <c r="B62">
        <v>68</v>
      </c>
      <c r="C62">
        <v>4</v>
      </c>
    </row>
    <row r="63" spans="1:3" x14ac:dyDescent="0.25">
      <c r="A63" t="s">
        <v>190</v>
      </c>
      <c r="B63">
        <v>69</v>
      </c>
      <c r="C63">
        <v>4</v>
      </c>
    </row>
    <row r="64" spans="1:3" x14ac:dyDescent="0.25">
      <c r="A64" t="s">
        <v>191</v>
      </c>
      <c r="B64">
        <v>70</v>
      </c>
      <c r="C64">
        <v>4</v>
      </c>
    </row>
    <row r="65" spans="1:3" x14ac:dyDescent="0.25">
      <c r="A65" t="s">
        <v>192</v>
      </c>
      <c r="B65">
        <v>71</v>
      </c>
      <c r="C65">
        <v>4</v>
      </c>
    </row>
    <row r="66" spans="1:3" x14ac:dyDescent="0.25">
      <c r="A66" t="s">
        <v>193</v>
      </c>
      <c r="B66">
        <v>72</v>
      </c>
      <c r="C66">
        <v>4</v>
      </c>
    </row>
    <row r="67" spans="1:3" x14ac:dyDescent="0.25">
      <c r="A67" t="s">
        <v>194</v>
      </c>
      <c r="B67">
        <v>73</v>
      </c>
      <c r="C67">
        <v>4</v>
      </c>
    </row>
    <row r="68" spans="1:3" x14ac:dyDescent="0.25">
      <c r="A68" t="s">
        <v>195</v>
      </c>
      <c r="B68">
        <v>74</v>
      </c>
      <c r="C68">
        <v>4</v>
      </c>
    </row>
    <row r="69" spans="1:3" x14ac:dyDescent="0.25">
      <c r="A69" t="s">
        <v>196</v>
      </c>
      <c r="B69">
        <v>75</v>
      </c>
      <c r="C69">
        <v>4</v>
      </c>
    </row>
    <row r="70" spans="1:3" x14ac:dyDescent="0.25">
      <c r="A70" t="s">
        <v>197</v>
      </c>
      <c r="B70">
        <v>76</v>
      </c>
      <c r="C70">
        <v>4</v>
      </c>
    </row>
    <row r="71" spans="1:3" x14ac:dyDescent="0.25">
      <c r="A71" t="s">
        <v>152</v>
      </c>
      <c r="B71">
        <v>77</v>
      </c>
      <c r="C71">
        <v>4</v>
      </c>
    </row>
    <row r="72" spans="1:3" x14ac:dyDescent="0.25">
      <c r="A72" t="s">
        <v>198</v>
      </c>
      <c r="B72">
        <v>78</v>
      </c>
      <c r="C72">
        <v>4</v>
      </c>
    </row>
    <row r="73" spans="1:3" x14ac:dyDescent="0.25">
      <c r="A73" t="s">
        <v>150</v>
      </c>
      <c r="B73">
        <v>79</v>
      </c>
      <c r="C73">
        <v>4</v>
      </c>
    </row>
    <row r="74" spans="1:3" x14ac:dyDescent="0.25">
      <c r="A74" t="s">
        <v>199</v>
      </c>
      <c r="B74">
        <v>80</v>
      </c>
      <c r="C74">
        <v>4</v>
      </c>
    </row>
    <row r="75" spans="1:3" x14ac:dyDescent="0.25">
      <c r="A75" t="s">
        <v>200</v>
      </c>
      <c r="B75">
        <v>81</v>
      </c>
      <c r="C75">
        <v>4</v>
      </c>
    </row>
    <row r="76" spans="1:3" x14ac:dyDescent="0.25">
      <c r="A76" t="s">
        <v>201</v>
      </c>
      <c r="B76">
        <v>82</v>
      </c>
      <c r="C76">
        <v>4</v>
      </c>
    </row>
    <row r="77" spans="1:3" x14ac:dyDescent="0.25">
      <c r="A77" t="s">
        <v>149</v>
      </c>
      <c r="B77">
        <v>83</v>
      </c>
      <c r="C77">
        <v>4</v>
      </c>
    </row>
    <row r="78" spans="1:3" x14ac:dyDescent="0.25">
      <c r="A78" t="s">
        <v>202</v>
      </c>
      <c r="B78">
        <v>84</v>
      </c>
      <c r="C78">
        <v>4</v>
      </c>
    </row>
    <row r="79" spans="1:3" x14ac:dyDescent="0.25">
      <c r="A79" t="s">
        <v>151</v>
      </c>
      <c r="B79">
        <v>85</v>
      </c>
      <c r="C79">
        <v>4</v>
      </c>
    </row>
    <row r="80" spans="1:3" x14ac:dyDescent="0.25">
      <c r="A80" t="s">
        <v>203</v>
      </c>
      <c r="B80">
        <v>86</v>
      </c>
      <c r="C80">
        <v>4</v>
      </c>
    </row>
    <row r="81" spans="1:3" x14ac:dyDescent="0.25">
      <c r="A81" t="s">
        <v>204</v>
      </c>
      <c r="B81">
        <v>87</v>
      </c>
      <c r="C81">
        <v>4</v>
      </c>
    </row>
    <row r="82" spans="1:3" x14ac:dyDescent="0.25">
      <c r="A82" t="s">
        <v>205</v>
      </c>
      <c r="B82">
        <v>88</v>
      </c>
      <c r="C82">
        <v>4</v>
      </c>
    </row>
    <row r="83" spans="1:3" x14ac:dyDescent="0.25">
      <c r="A83" t="s">
        <v>206</v>
      </c>
      <c r="B83">
        <v>89</v>
      </c>
      <c r="C83">
        <v>4</v>
      </c>
    </row>
    <row r="84" spans="1:3" x14ac:dyDescent="0.25">
      <c r="A84" t="s">
        <v>207</v>
      </c>
      <c r="B84">
        <v>91</v>
      </c>
      <c r="C84">
        <v>4</v>
      </c>
    </row>
    <row r="85" spans="1:3" x14ac:dyDescent="0.25">
      <c r="A85" t="s">
        <v>155</v>
      </c>
      <c r="B85">
        <v>92</v>
      </c>
      <c r="C85">
        <v>4</v>
      </c>
    </row>
    <row r="86" spans="1:3" x14ac:dyDescent="0.25">
      <c r="A86" t="s">
        <v>208</v>
      </c>
      <c r="B86">
        <v>93</v>
      </c>
      <c r="C86">
        <v>4</v>
      </c>
    </row>
    <row r="87" spans="1:3" x14ac:dyDescent="0.25">
      <c r="A87" t="s">
        <v>209</v>
      </c>
      <c r="B87">
        <v>95</v>
      </c>
      <c r="C87">
        <v>4</v>
      </c>
    </row>
    <row r="88" spans="1:3" x14ac:dyDescent="0.25">
      <c r="A88" t="s">
        <v>210</v>
      </c>
      <c r="B88">
        <v>96</v>
      </c>
      <c r="C88">
        <v>4</v>
      </c>
    </row>
    <row r="89" spans="1:3" x14ac:dyDescent="0.25">
      <c r="A89" t="s">
        <v>211</v>
      </c>
      <c r="B89">
        <v>97</v>
      </c>
      <c r="C89">
        <v>4</v>
      </c>
    </row>
    <row r="90" spans="1:3" x14ac:dyDescent="0.25">
      <c r="A90" t="s">
        <v>212</v>
      </c>
      <c r="B90">
        <v>98</v>
      </c>
      <c r="C90">
        <v>4</v>
      </c>
    </row>
    <row r="91" spans="1:3" x14ac:dyDescent="0.25">
      <c r="A91" t="s">
        <v>156</v>
      </c>
      <c r="B91">
        <v>99</v>
      </c>
      <c r="C91">
        <v>4</v>
      </c>
    </row>
    <row r="92" spans="1:3" x14ac:dyDescent="0.25">
      <c r="A92" t="s">
        <v>213</v>
      </c>
      <c r="B92">
        <v>100</v>
      </c>
      <c r="C92">
        <v>4</v>
      </c>
    </row>
    <row r="93" spans="1:3" x14ac:dyDescent="0.25">
      <c r="A93" t="s">
        <v>214</v>
      </c>
      <c r="B93">
        <v>101</v>
      </c>
      <c r="C93">
        <v>4</v>
      </c>
    </row>
    <row r="94" spans="1:3" x14ac:dyDescent="0.25">
      <c r="A94" t="s">
        <v>215</v>
      </c>
      <c r="B94">
        <v>102</v>
      </c>
      <c r="C94">
        <v>4</v>
      </c>
    </row>
    <row r="95" spans="1:3" x14ac:dyDescent="0.25">
      <c r="A95" t="s">
        <v>216</v>
      </c>
      <c r="B95">
        <v>103</v>
      </c>
      <c r="C95">
        <v>4</v>
      </c>
    </row>
    <row r="96" spans="1:3" x14ac:dyDescent="0.25">
      <c r="A96" t="s">
        <v>217</v>
      </c>
      <c r="B96">
        <v>104</v>
      </c>
      <c r="C96">
        <v>4</v>
      </c>
    </row>
    <row r="97" spans="1:3" x14ac:dyDescent="0.25">
      <c r="A97" t="s">
        <v>218</v>
      </c>
      <c r="B97">
        <v>105</v>
      </c>
      <c r="C97">
        <v>4</v>
      </c>
    </row>
    <row r="98" spans="1:3" x14ac:dyDescent="0.25">
      <c r="A98" t="s">
        <v>219</v>
      </c>
      <c r="B98">
        <v>106</v>
      </c>
      <c r="C98">
        <v>4</v>
      </c>
    </row>
    <row r="99" spans="1:3" x14ac:dyDescent="0.25">
      <c r="A99" t="s">
        <v>220</v>
      </c>
      <c r="B99">
        <v>107</v>
      </c>
      <c r="C99">
        <v>4</v>
      </c>
    </row>
    <row r="100" spans="1:3" x14ac:dyDescent="0.25">
      <c r="A100" t="s">
        <v>157</v>
      </c>
      <c r="B100">
        <v>108</v>
      </c>
      <c r="C100">
        <v>4</v>
      </c>
    </row>
    <row r="101" spans="1:3" x14ac:dyDescent="0.25">
      <c r="A101" t="s">
        <v>221</v>
      </c>
      <c r="B101">
        <v>109</v>
      </c>
      <c r="C101">
        <v>4</v>
      </c>
    </row>
    <row r="102" spans="1:3" x14ac:dyDescent="0.25">
      <c r="A102" t="s">
        <v>222</v>
      </c>
      <c r="B102">
        <v>110</v>
      </c>
      <c r="C102">
        <v>4</v>
      </c>
    </row>
    <row r="103" spans="1:3" x14ac:dyDescent="0.25">
      <c r="A103" t="s">
        <v>223</v>
      </c>
      <c r="B103">
        <v>111</v>
      </c>
      <c r="C103">
        <v>4</v>
      </c>
    </row>
    <row r="104" spans="1:3" x14ac:dyDescent="0.25">
      <c r="A104" t="s">
        <v>224</v>
      </c>
      <c r="B104">
        <v>112</v>
      </c>
      <c r="C104">
        <v>4</v>
      </c>
    </row>
    <row r="105" spans="1:3" x14ac:dyDescent="0.25">
      <c r="A105" t="s">
        <v>225</v>
      </c>
      <c r="B105">
        <v>113</v>
      </c>
      <c r="C105">
        <v>4</v>
      </c>
    </row>
    <row r="106" spans="1:3" x14ac:dyDescent="0.25">
      <c r="A106" t="s">
        <v>226</v>
      </c>
      <c r="B106">
        <v>114</v>
      </c>
      <c r="C106">
        <v>4</v>
      </c>
    </row>
    <row r="107" spans="1:3" x14ac:dyDescent="0.25">
      <c r="A107" t="s">
        <v>227</v>
      </c>
      <c r="B107">
        <v>115</v>
      </c>
      <c r="C107">
        <v>4</v>
      </c>
    </row>
    <row r="108" spans="1:3" x14ac:dyDescent="0.25">
      <c r="A108" t="s">
        <v>138</v>
      </c>
      <c r="B108">
        <v>116</v>
      </c>
      <c r="C108">
        <v>4</v>
      </c>
    </row>
    <row r="109" spans="1:3" x14ac:dyDescent="0.25">
      <c r="A109" t="s">
        <v>228</v>
      </c>
      <c r="B109">
        <v>117</v>
      </c>
      <c r="C109">
        <v>4</v>
      </c>
    </row>
    <row r="110" spans="1:3" x14ac:dyDescent="0.25">
      <c r="A110" t="s">
        <v>229</v>
      </c>
      <c r="B110">
        <v>118</v>
      </c>
      <c r="C110">
        <v>4</v>
      </c>
    </row>
    <row r="111" spans="1:3" x14ac:dyDescent="0.25">
      <c r="A111" t="s">
        <v>230</v>
      </c>
      <c r="B111">
        <v>119</v>
      </c>
      <c r="C111">
        <v>4</v>
      </c>
    </row>
    <row r="112" spans="1:3" x14ac:dyDescent="0.25">
      <c r="A112" t="s">
        <v>159</v>
      </c>
      <c r="B112">
        <v>120</v>
      </c>
      <c r="C112">
        <v>4</v>
      </c>
    </row>
    <row r="113" spans="1:3" x14ac:dyDescent="0.25">
      <c r="A113" t="s">
        <v>231</v>
      </c>
      <c r="B113">
        <v>121</v>
      </c>
      <c r="C113">
        <v>4</v>
      </c>
    </row>
    <row r="114" spans="1:3" x14ac:dyDescent="0.25">
      <c r="A114" t="s">
        <v>232</v>
      </c>
      <c r="B114">
        <v>122</v>
      </c>
      <c r="C114">
        <v>4</v>
      </c>
    </row>
    <row r="115" spans="1:3" x14ac:dyDescent="0.25">
      <c r="A115" t="s">
        <v>233</v>
      </c>
      <c r="B115">
        <v>123</v>
      </c>
      <c r="C115">
        <v>4</v>
      </c>
    </row>
    <row r="116" spans="1:3" x14ac:dyDescent="0.25">
      <c r="A116" t="s">
        <v>234</v>
      </c>
      <c r="B116">
        <v>124</v>
      </c>
      <c r="C116">
        <v>4</v>
      </c>
    </row>
    <row r="117" spans="1:3" x14ac:dyDescent="0.25">
      <c r="A117" t="s">
        <v>158</v>
      </c>
      <c r="B117">
        <v>125</v>
      </c>
      <c r="C117">
        <v>4</v>
      </c>
    </row>
    <row r="118" spans="1:3" x14ac:dyDescent="0.25">
      <c r="A118" t="s">
        <v>144</v>
      </c>
      <c r="B118">
        <v>126</v>
      </c>
      <c r="C118">
        <v>4</v>
      </c>
    </row>
    <row r="119" spans="1:3" x14ac:dyDescent="0.25">
      <c r="A119" t="s">
        <v>235</v>
      </c>
      <c r="B119">
        <v>127</v>
      </c>
      <c r="C119">
        <v>4</v>
      </c>
    </row>
    <row r="120" spans="1:3" x14ac:dyDescent="0.25">
      <c r="A120" t="s">
        <v>236</v>
      </c>
      <c r="B120">
        <v>128</v>
      </c>
      <c r="C120">
        <v>4</v>
      </c>
    </row>
    <row r="121" spans="1:3" x14ac:dyDescent="0.25">
      <c r="A121" t="s">
        <v>237</v>
      </c>
      <c r="B121">
        <v>129</v>
      </c>
      <c r="C121">
        <v>4</v>
      </c>
    </row>
    <row r="122" spans="1:3" x14ac:dyDescent="0.25">
      <c r="A122" t="s">
        <v>238</v>
      </c>
      <c r="B122">
        <v>130</v>
      </c>
      <c r="C122">
        <v>4</v>
      </c>
    </row>
    <row r="123" spans="1:3" x14ac:dyDescent="0.25">
      <c r="A123" t="s">
        <v>239</v>
      </c>
      <c r="B123">
        <v>131</v>
      </c>
      <c r="C123">
        <v>4</v>
      </c>
    </row>
    <row r="124" spans="1:3" x14ac:dyDescent="0.25">
      <c r="A124" t="s">
        <v>240</v>
      </c>
      <c r="B124">
        <v>132</v>
      </c>
      <c r="C124">
        <v>4</v>
      </c>
    </row>
    <row r="125" spans="1:3" x14ac:dyDescent="0.25">
      <c r="A125" t="s">
        <v>161</v>
      </c>
      <c r="B125">
        <v>133</v>
      </c>
      <c r="C125">
        <v>4</v>
      </c>
    </row>
    <row r="126" spans="1:3" x14ac:dyDescent="0.25">
      <c r="A126" t="s">
        <v>241</v>
      </c>
      <c r="B126">
        <v>134</v>
      </c>
      <c r="C126">
        <v>4</v>
      </c>
    </row>
    <row r="127" spans="1:3" x14ac:dyDescent="0.25">
      <c r="A127" t="s">
        <v>242</v>
      </c>
      <c r="B127">
        <v>135</v>
      </c>
      <c r="C127">
        <v>4</v>
      </c>
    </row>
    <row r="128" spans="1:3" x14ac:dyDescent="0.25">
      <c r="A128" t="s">
        <v>243</v>
      </c>
      <c r="B128">
        <v>136</v>
      </c>
      <c r="C128">
        <v>4</v>
      </c>
    </row>
    <row r="129" spans="1:3" x14ac:dyDescent="0.25">
      <c r="A129" t="s">
        <v>162</v>
      </c>
      <c r="B129">
        <v>137</v>
      </c>
      <c r="C129">
        <v>4</v>
      </c>
    </row>
    <row r="130" spans="1:3" x14ac:dyDescent="0.25">
      <c r="A130" t="s">
        <v>244</v>
      </c>
      <c r="B130">
        <v>138</v>
      </c>
      <c r="C130">
        <v>4</v>
      </c>
    </row>
    <row r="131" spans="1:3" x14ac:dyDescent="0.25">
      <c r="A131" t="s">
        <v>245</v>
      </c>
      <c r="B131">
        <v>139</v>
      </c>
      <c r="C131">
        <v>4</v>
      </c>
    </row>
    <row r="132" spans="1:3" x14ac:dyDescent="0.25">
      <c r="A132" t="s">
        <v>246</v>
      </c>
      <c r="B132">
        <v>140</v>
      </c>
      <c r="C132">
        <v>4</v>
      </c>
    </row>
    <row r="133" spans="1:3" x14ac:dyDescent="0.25">
      <c r="A133" t="s">
        <v>247</v>
      </c>
      <c r="B133">
        <v>141</v>
      </c>
      <c r="C133">
        <v>4</v>
      </c>
    </row>
    <row r="134" spans="1:3" x14ac:dyDescent="0.25">
      <c r="A134" t="s">
        <v>248</v>
      </c>
      <c r="B134">
        <v>142</v>
      </c>
      <c r="C134">
        <v>4</v>
      </c>
    </row>
    <row r="135" spans="1:3" x14ac:dyDescent="0.25">
      <c r="A135" t="s">
        <v>249</v>
      </c>
      <c r="B135">
        <v>143</v>
      </c>
      <c r="C135">
        <v>4</v>
      </c>
    </row>
    <row r="136" spans="1:3" x14ac:dyDescent="0.25">
      <c r="A136" t="s">
        <v>250</v>
      </c>
      <c r="B136">
        <v>144</v>
      </c>
      <c r="C136">
        <v>4</v>
      </c>
    </row>
    <row r="137" spans="1:3" x14ac:dyDescent="0.25">
      <c r="A137" t="s">
        <v>160</v>
      </c>
      <c r="B137">
        <v>145</v>
      </c>
      <c r="C137">
        <v>4</v>
      </c>
    </row>
    <row r="138" spans="1:3" x14ac:dyDescent="0.25">
      <c r="A138" t="s">
        <v>251</v>
      </c>
      <c r="B138">
        <v>146</v>
      </c>
      <c r="C138">
        <v>4</v>
      </c>
    </row>
    <row r="139" spans="1:3" x14ac:dyDescent="0.25">
      <c r="A139" t="s">
        <v>252</v>
      </c>
      <c r="B139">
        <v>147</v>
      </c>
      <c r="C139">
        <v>4</v>
      </c>
    </row>
    <row r="140" spans="1:3" x14ac:dyDescent="0.25">
      <c r="A140" t="s">
        <v>253</v>
      </c>
      <c r="B140">
        <v>148</v>
      </c>
      <c r="C140">
        <v>4</v>
      </c>
    </row>
    <row r="141" spans="1:3" x14ac:dyDescent="0.25">
      <c r="A141" t="s">
        <v>254</v>
      </c>
      <c r="B141">
        <v>149</v>
      </c>
      <c r="C141">
        <v>4</v>
      </c>
    </row>
    <row r="142" spans="1:3" x14ac:dyDescent="0.25">
      <c r="A142" t="s">
        <v>255</v>
      </c>
      <c r="B142">
        <v>150</v>
      </c>
      <c r="C142">
        <v>4</v>
      </c>
    </row>
    <row r="143" spans="1:3" x14ac:dyDescent="0.25">
      <c r="A143" t="s">
        <v>256</v>
      </c>
      <c r="B143">
        <v>151</v>
      </c>
      <c r="C143">
        <v>4</v>
      </c>
    </row>
    <row r="144" spans="1:3" x14ac:dyDescent="0.25">
      <c r="A144" t="s">
        <v>257</v>
      </c>
      <c r="B144">
        <v>152</v>
      </c>
      <c r="C144">
        <v>4</v>
      </c>
    </row>
    <row r="145" spans="1:3" x14ac:dyDescent="0.25">
      <c r="A145" t="s">
        <v>258</v>
      </c>
      <c r="B145">
        <v>153</v>
      </c>
      <c r="C145">
        <v>4</v>
      </c>
    </row>
    <row r="146" spans="1:3" x14ac:dyDescent="0.25">
      <c r="A146" t="s">
        <v>259</v>
      </c>
      <c r="B146">
        <v>154</v>
      </c>
      <c r="C146">
        <v>4</v>
      </c>
    </row>
    <row r="147" spans="1:3" x14ac:dyDescent="0.25">
      <c r="A147" t="s">
        <v>260</v>
      </c>
      <c r="B147">
        <v>155</v>
      </c>
      <c r="C147">
        <v>4</v>
      </c>
    </row>
    <row r="148" spans="1:3" x14ac:dyDescent="0.25">
      <c r="A148" t="s">
        <v>261</v>
      </c>
      <c r="B148">
        <v>156</v>
      </c>
      <c r="C148">
        <v>4</v>
      </c>
    </row>
    <row r="149" spans="1:3" x14ac:dyDescent="0.25">
      <c r="A149" t="s">
        <v>164</v>
      </c>
      <c r="B149">
        <v>157</v>
      </c>
      <c r="C149">
        <v>4</v>
      </c>
    </row>
    <row r="150" spans="1:3" x14ac:dyDescent="0.25">
      <c r="A150" t="s">
        <v>166</v>
      </c>
      <c r="B150">
        <v>158</v>
      </c>
      <c r="C150">
        <v>4</v>
      </c>
    </row>
    <row r="151" spans="1:3" x14ac:dyDescent="0.25">
      <c r="A151" t="s">
        <v>262</v>
      </c>
      <c r="B151">
        <v>159</v>
      </c>
      <c r="C151">
        <v>4</v>
      </c>
    </row>
    <row r="152" spans="1:3" x14ac:dyDescent="0.25">
      <c r="A152" t="s">
        <v>263</v>
      </c>
      <c r="B152">
        <v>160</v>
      </c>
      <c r="C152">
        <v>4</v>
      </c>
    </row>
    <row r="153" spans="1:3" x14ac:dyDescent="0.25">
      <c r="A153" t="s">
        <v>264</v>
      </c>
      <c r="B153">
        <v>161</v>
      </c>
      <c r="C153">
        <v>4</v>
      </c>
    </row>
    <row r="154" spans="1:3" x14ac:dyDescent="0.25">
      <c r="A154" t="s">
        <v>265</v>
      </c>
      <c r="B154">
        <v>162</v>
      </c>
      <c r="C154">
        <v>4</v>
      </c>
    </row>
    <row r="155" spans="1:3" x14ac:dyDescent="0.25">
      <c r="A155" t="s">
        <v>266</v>
      </c>
      <c r="B155">
        <v>163</v>
      </c>
      <c r="C155">
        <v>4</v>
      </c>
    </row>
    <row r="156" spans="1:3" x14ac:dyDescent="0.25">
      <c r="A156" t="s">
        <v>267</v>
      </c>
      <c r="B156">
        <v>164</v>
      </c>
      <c r="C156">
        <v>4</v>
      </c>
    </row>
    <row r="157" spans="1:3" x14ac:dyDescent="0.25">
      <c r="A157" t="s">
        <v>268</v>
      </c>
      <c r="B157">
        <v>165</v>
      </c>
      <c r="C157">
        <v>4</v>
      </c>
    </row>
    <row r="158" spans="1:3" x14ac:dyDescent="0.25">
      <c r="A158" t="s">
        <v>168</v>
      </c>
      <c r="B158">
        <v>166</v>
      </c>
      <c r="C158">
        <v>4</v>
      </c>
    </row>
    <row r="159" spans="1:3" x14ac:dyDescent="0.25">
      <c r="A159" t="s">
        <v>142</v>
      </c>
      <c r="B159">
        <v>167</v>
      </c>
      <c r="C159">
        <v>4</v>
      </c>
    </row>
    <row r="160" spans="1:3" x14ac:dyDescent="0.25">
      <c r="A160" t="s">
        <v>269</v>
      </c>
      <c r="B160">
        <v>168</v>
      </c>
      <c r="C160">
        <v>4</v>
      </c>
    </row>
    <row r="161" spans="1:3" x14ac:dyDescent="0.25">
      <c r="A161" t="s">
        <v>270</v>
      </c>
      <c r="B161">
        <v>169</v>
      </c>
      <c r="C161">
        <v>4</v>
      </c>
    </row>
    <row r="162" spans="1:3" x14ac:dyDescent="0.25">
      <c r="A162" t="s">
        <v>169</v>
      </c>
      <c r="B162">
        <v>170</v>
      </c>
      <c r="C162">
        <v>4</v>
      </c>
    </row>
    <row r="163" spans="1:3" x14ac:dyDescent="0.25">
      <c r="A163" t="s">
        <v>271</v>
      </c>
      <c r="B163">
        <v>175</v>
      </c>
      <c r="C163">
        <v>4</v>
      </c>
    </row>
    <row r="164" spans="1:3" x14ac:dyDescent="0.25">
      <c r="A164" t="s">
        <v>272</v>
      </c>
      <c r="B164">
        <v>176</v>
      </c>
      <c r="C164">
        <v>4</v>
      </c>
    </row>
    <row r="165" spans="1:3" x14ac:dyDescent="0.25">
      <c r="A165" t="s">
        <v>170</v>
      </c>
      <c r="B165">
        <v>177</v>
      </c>
      <c r="C165">
        <v>4</v>
      </c>
    </row>
    <row r="166" spans="1:3" x14ac:dyDescent="0.25">
      <c r="A166" t="s">
        <v>273</v>
      </c>
      <c r="B166">
        <v>178</v>
      </c>
      <c r="C166">
        <v>4</v>
      </c>
    </row>
    <row r="167" spans="1:3" x14ac:dyDescent="0.25">
      <c r="A167" t="s">
        <v>274</v>
      </c>
      <c r="B167">
        <v>179</v>
      </c>
      <c r="C167">
        <v>4</v>
      </c>
    </row>
    <row r="168" spans="1:3" x14ac:dyDescent="0.25">
      <c r="A168" t="s">
        <v>275</v>
      </c>
      <c r="B168">
        <v>180</v>
      </c>
      <c r="C168">
        <v>4</v>
      </c>
    </row>
    <row r="169" spans="1:3" x14ac:dyDescent="0.25">
      <c r="A169" t="s">
        <v>276</v>
      </c>
      <c r="B169">
        <v>181</v>
      </c>
      <c r="C169">
        <v>4</v>
      </c>
    </row>
    <row r="170" spans="1:3" x14ac:dyDescent="0.25">
      <c r="A170" t="s">
        <v>277</v>
      </c>
      <c r="B170">
        <v>182</v>
      </c>
      <c r="C170">
        <v>4</v>
      </c>
    </row>
    <row r="171" spans="1:3" x14ac:dyDescent="0.25">
      <c r="A171" t="s">
        <v>278</v>
      </c>
      <c r="B171">
        <v>183</v>
      </c>
      <c r="C171">
        <v>4</v>
      </c>
    </row>
    <row r="172" spans="1:3" x14ac:dyDescent="0.25">
      <c r="A172" t="s">
        <v>279</v>
      </c>
      <c r="B172">
        <v>184</v>
      </c>
      <c r="C172">
        <v>4</v>
      </c>
    </row>
    <row r="173" spans="1:3" x14ac:dyDescent="0.25">
      <c r="A173" t="s">
        <v>165</v>
      </c>
      <c r="B173">
        <v>185</v>
      </c>
      <c r="C173">
        <v>4</v>
      </c>
    </row>
    <row r="174" spans="1:3" x14ac:dyDescent="0.25">
      <c r="A174" t="s">
        <v>280</v>
      </c>
      <c r="B174">
        <v>186</v>
      </c>
      <c r="C174">
        <v>4</v>
      </c>
    </row>
    <row r="175" spans="1:3" x14ac:dyDescent="0.25">
      <c r="A175" t="s">
        <v>281</v>
      </c>
      <c r="B175">
        <v>187</v>
      </c>
      <c r="C175">
        <v>4</v>
      </c>
    </row>
    <row r="176" spans="1:3" x14ac:dyDescent="0.25">
      <c r="A176" t="s">
        <v>153</v>
      </c>
      <c r="B176">
        <v>188</v>
      </c>
      <c r="C176">
        <v>4</v>
      </c>
    </row>
    <row r="177" spans="1:3" x14ac:dyDescent="0.25">
      <c r="A177" t="s">
        <v>171</v>
      </c>
      <c r="B177">
        <v>189</v>
      </c>
      <c r="C177">
        <v>4</v>
      </c>
    </row>
    <row r="178" spans="1:3" x14ac:dyDescent="0.25">
      <c r="A178" t="s">
        <v>282</v>
      </c>
      <c r="B178">
        <v>190</v>
      </c>
      <c r="C178">
        <v>4</v>
      </c>
    </row>
    <row r="179" spans="1:3" x14ac:dyDescent="0.25">
      <c r="A179" t="s">
        <v>172</v>
      </c>
      <c r="B179">
        <v>191</v>
      </c>
      <c r="C179">
        <v>4</v>
      </c>
    </row>
    <row r="180" spans="1:3" x14ac:dyDescent="0.25">
      <c r="A180" t="s">
        <v>283</v>
      </c>
      <c r="B180">
        <v>192</v>
      </c>
      <c r="C180">
        <v>4</v>
      </c>
    </row>
    <row r="181" spans="1:3" x14ac:dyDescent="0.25">
      <c r="A181" t="s">
        <v>284</v>
      </c>
      <c r="B181">
        <v>193</v>
      </c>
      <c r="C181">
        <v>4</v>
      </c>
    </row>
    <row r="182" spans="1:3" x14ac:dyDescent="0.25">
      <c r="A182" t="s">
        <v>139</v>
      </c>
      <c r="B182">
        <v>194</v>
      </c>
      <c r="C182">
        <v>4</v>
      </c>
    </row>
    <row r="183" spans="1:3" x14ac:dyDescent="0.25">
      <c r="A183" t="s">
        <v>173</v>
      </c>
      <c r="B183">
        <v>195</v>
      </c>
      <c r="C183">
        <v>4</v>
      </c>
    </row>
    <row r="184" spans="1:3" x14ac:dyDescent="0.25">
      <c r="A184" t="s">
        <v>285</v>
      </c>
      <c r="B184">
        <v>196</v>
      </c>
      <c r="C184">
        <v>4</v>
      </c>
    </row>
    <row r="185" spans="1:3" x14ac:dyDescent="0.25">
      <c r="A185" t="s">
        <v>286</v>
      </c>
      <c r="B185">
        <v>197</v>
      </c>
      <c r="C185">
        <v>4</v>
      </c>
    </row>
    <row r="186" spans="1:3" x14ac:dyDescent="0.25">
      <c r="A186" t="s">
        <v>174</v>
      </c>
      <c r="B186">
        <v>198</v>
      </c>
      <c r="C186">
        <v>4</v>
      </c>
    </row>
    <row r="187" spans="1:3" x14ac:dyDescent="0.25">
      <c r="A187" t="s">
        <v>287</v>
      </c>
      <c r="B187">
        <v>199</v>
      </c>
      <c r="C187">
        <v>4</v>
      </c>
    </row>
    <row r="188" spans="1:3" x14ac:dyDescent="0.25">
      <c r="A188" t="s">
        <v>288</v>
      </c>
      <c r="B188">
        <v>200</v>
      </c>
      <c r="C188">
        <v>2</v>
      </c>
    </row>
    <row r="189" spans="1:3" x14ac:dyDescent="0.25">
      <c r="A189" t="s">
        <v>289</v>
      </c>
      <c r="B189">
        <v>201</v>
      </c>
      <c r="C189">
        <v>2</v>
      </c>
    </row>
    <row r="190" spans="1:3" x14ac:dyDescent="0.25">
      <c r="A190" t="s">
        <v>290</v>
      </c>
      <c r="B190">
        <v>202</v>
      </c>
      <c r="C190">
        <v>3</v>
      </c>
    </row>
    <row r="191" spans="1:3" x14ac:dyDescent="0.25">
      <c r="A191" t="s">
        <v>291</v>
      </c>
      <c r="B191">
        <v>203</v>
      </c>
      <c r="C191">
        <v>3</v>
      </c>
    </row>
    <row r="192" spans="1:3" x14ac:dyDescent="0.25">
      <c r="A192" t="s">
        <v>292</v>
      </c>
      <c r="B192">
        <v>204</v>
      </c>
      <c r="C192">
        <v>3</v>
      </c>
    </row>
    <row r="193" spans="1:3" x14ac:dyDescent="0.25">
      <c r="A193" t="s">
        <v>293</v>
      </c>
      <c r="B193">
        <v>205</v>
      </c>
      <c r="C193">
        <v>3</v>
      </c>
    </row>
    <row r="194" spans="1:3" x14ac:dyDescent="0.25">
      <c r="A194" t="s">
        <v>294</v>
      </c>
      <c r="B194">
        <v>206</v>
      </c>
      <c r="C194">
        <v>3</v>
      </c>
    </row>
    <row r="195" spans="1:3" x14ac:dyDescent="0.25">
      <c r="A195" t="s">
        <v>295</v>
      </c>
      <c r="B195">
        <v>207</v>
      </c>
      <c r="C195">
        <v>3</v>
      </c>
    </row>
    <row r="196" spans="1:3" x14ac:dyDescent="0.25">
      <c r="A196" t="s">
        <v>296</v>
      </c>
      <c r="B196">
        <v>208</v>
      </c>
      <c r="C196">
        <v>3</v>
      </c>
    </row>
    <row r="197" spans="1:3" x14ac:dyDescent="0.25">
      <c r="A197" t="s">
        <v>288</v>
      </c>
      <c r="B197">
        <v>209</v>
      </c>
      <c r="C197">
        <v>3</v>
      </c>
    </row>
    <row r="198" spans="1:3" x14ac:dyDescent="0.25">
      <c r="A198" t="s">
        <v>297</v>
      </c>
      <c r="B198">
        <v>210</v>
      </c>
      <c r="C198">
        <v>3</v>
      </c>
    </row>
    <row r="199" spans="1:3" x14ac:dyDescent="0.25">
      <c r="A199" t="s">
        <v>298</v>
      </c>
      <c r="B199">
        <v>211</v>
      </c>
      <c r="C199">
        <v>3</v>
      </c>
    </row>
    <row r="200" spans="1:3" x14ac:dyDescent="0.25">
      <c r="A200" t="s">
        <v>299</v>
      </c>
      <c r="B200">
        <v>212</v>
      </c>
      <c r="C200">
        <v>3</v>
      </c>
    </row>
    <row r="201" spans="1:3" x14ac:dyDescent="0.25">
      <c r="A201" t="s">
        <v>300</v>
      </c>
      <c r="B201">
        <v>213</v>
      </c>
      <c r="C201">
        <v>3</v>
      </c>
    </row>
    <row r="202" spans="1:3" x14ac:dyDescent="0.25">
      <c r="A202" t="s">
        <v>301</v>
      </c>
      <c r="B202">
        <v>214</v>
      </c>
      <c r="C202">
        <v>3</v>
      </c>
    </row>
    <row r="203" spans="1:3" x14ac:dyDescent="0.25">
      <c r="A203" t="s">
        <v>302</v>
      </c>
      <c r="B203">
        <v>215</v>
      </c>
      <c r="C203">
        <v>3</v>
      </c>
    </row>
    <row r="204" spans="1:3" x14ac:dyDescent="0.25">
      <c r="A204" t="s">
        <v>303</v>
      </c>
      <c r="B204">
        <v>216</v>
      </c>
      <c r="C204">
        <v>3</v>
      </c>
    </row>
    <row r="205" spans="1:3" x14ac:dyDescent="0.25">
      <c r="A205" t="s">
        <v>304</v>
      </c>
      <c r="B205">
        <v>217</v>
      </c>
      <c r="C205">
        <v>3</v>
      </c>
    </row>
    <row r="206" spans="1:3" x14ac:dyDescent="0.25">
      <c r="A206" t="s">
        <v>305</v>
      </c>
      <c r="B206">
        <v>218</v>
      </c>
      <c r="C206">
        <v>3</v>
      </c>
    </row>
    <row r="207" spans="1:3" x14ac:dyDescent="0.25">
      <c r="A207" t="s">
        <v>306</v>
      </c>
      <c r="B207">
        <v>219</v>
      </c>
      <c r="C207">
        <v>3</v>
      </c>
    </row>
    <row r="208" spans="1:3" x14ac:dyDescent="0.25">
      <c r="A208" t="s">
        <v>307</v>
      </c>
      <c r="B208">
        <v>220</v>
      </c>
      <c r="C208">
        <v>3</v>
      </c>
    </row>
    <row r="209" spans="1:3" x14ac:dyDescent="0.25">
      <c r="A209" t="s">
        <v>308</v>
      </c>
      <c r="B209">
        <v>221</v>
      </c>
      <c r="C209">
        <v>3</v>
      </c>
    </row>
    <row r="210" spans="1:3" x14ac:dyDescent="0.25">
      <c r="A210" t="s">
        <v>309</v>
      </c>
      <c r="B210">
        <v>222</v>
      </c>
      <c r="C210">
        <v>3</v>
      </c>
    </row>
    <row r="211" spans="1:3" x14ac:dyDescent="0.25">
      <c r="A211" t="s">
        <v>310</v>
      </c>
      <c r="B211">
        <v>223</v>
      </c>
      <c r="C211">
        <v>3</v>
      </c>
    </row>
    <row r="212" spans="1:3" x14ac:dyDescent="0.25">
      <c r="A212" t="s">
        <v>311</v>
      </c>
      <c r="B212">
        <v>224</v>
      </c>
      <c r="C212">
        <v>3</v>
      </c>
    </row>
    <row r="213" spans="1:3" x14ac:dyDescent="0.25">
      <c r="A213" t="s">
        <v>312</v>
      </c>
      <c r="B213">
        <v>225</v>
      </c>
      <c r="C213">
        <v>3</v>
      </c>
    </row>
    <row r="214" spans="1:3" x14ac:dyDescent="0.25">
      <c r="A214" t="s">
        <v>313</v>
      </c>
      <c r="B214">
        <v>226</v>
      </c>
      <c r="C214">
        <v>3</v>
      </c>
    </row>
    <row r="215" spans="1:3" x14ac:dyDescent="0.25">
      <c r="A215" t="s">
        <v>314</v>
      </c>
      <c r="B215">
        <v>227</v>
      </c>
      <c r="C215">
        <v>3</v>
      </c>
    </row>
    <row r="216" spans="1:3" x14ac:dyDescent="0.25">
      <c r="A216" t="s">
        <v>315</v>
      </c>
      <c r="B216">
        <v>228</v>
      </c>
      <c r="C216">
        <v>3</v>
      </c>
    </row>
    <row r="217" spans="1:3" x14ac:dyDescent="0.25">
      <c r="A217" t="s">
        <v>316</v>
      </c>
      <c r="B217">
        <v>229</v>
      </c>
      <c r="C217">
        <v>3</v>
      </c>
    </row>
    <row r="218" spans="1:3" x14ac:dyDescent="0.25">
      <c r="A218" t="s">
        <v>290</v>
      </c>
      <c r="B218">
        <v>230</v>
      </c>
      <c r="C218">
        <v>4</v>
      </c>
    </row>
    <row r="219" spans="1:3" x14ac:dyDescent="0.25">
      <c r="A219" t="s">
        <v>317</v>
      </c>
      <c r="B219">
        <v>231</v>
      </c>
      <c r="C219">
        <v>4</v>
      </c>
    </row>
    <row r="220" spans="1:3" x14ac:dyDescent="0.25">
      <c r="A220" t="s">
        <v>318</v>
      </c>
      <c r="B220">
        <v>232</v>
      </c>
      <c r="C220">
        <v>4</v>
      </c>
    </row>
    <row r="221" spans="1:3" x14ac:dyDescent="0.25">
      <c r="A221" t="s">
        <v>319</v>
      </c>
      <c r="B221">
        <v>233</v>
      </c>
      <c r="C221">
        <v>4</v>
      </c>
    </row>
    <row r="222" spans="1:3" x14ac:dyDescent="0.25">
      <c r="A222" t="s">
        <v>320</v>
      </c>
      <c r="B222">
        <v>234</v>
      </c>
      <c r="C222">
        <v>4</v>
      </c>
    </row>
    <row r="223" spans="1:3" x14ac:dyDescent="0.25">
      <c r="A223" t="s">
        <v>321</v>
      </c>
      <c r="B223">
        <v>235</v>
      </c>
      <c r="C223">
        <v>4</v>
      </c>
    </row>
    <row r="224" spans="1:3" x14ac:dyDescent="0.25">
      <c r="A224" t="s">
        <v>322</v>
      </c>
      <c r="B224">
        <v>236</v>
      </c>
      <c r="C224">
        <v>4</v>
      </c>
    </row>
    <row r="225" spans="1:3" x14ac:dyDescent="0.25">
      <c r="A225" t="s">
        <v>292</v>
      </c>
      <c r="B225">
        <v>237</v>
      </c>
      <c r="C225">
        <v>4</v>
      </c>
    </row>
    <row r="226" spans="1:3" x14ac:dyDescent="0.25">
      <c r="A226" t="s">
        <v>323</v>
      </c>
      <c r="B226">
        <v>238</v>
      </c>
      <c r="C226">
        <v>4</v>
      </c>
    </row>
    <row r="227" spans="1:3" x14ac:dyDescent="0.25">
      <c r="A227" t="s">
        <v>291</v>
      </c>
      <c r="B227">
        <v>239</v>
      </c>
      <c r="C227">
        <v>4</v>
      </c>
    </row>
    <row r="228" spans="1:3" x14ac:dyDescent="0.25">
      <c r="A228" t="s">
        <v>324</v>
      </c>
      <c r="B228">
        <v>240</v>
      </c>
      <c r="C228">
        <v>4</v>
      </c>
    </row>
    <row r="229" spans="1:3" x14ac:dyDescent="0.25">
      <c r="A229" t="s">
        <v>325</v>
      </c>
      <c r="B229">
        <v>241</v>
      </c>
      <c r="C229">
        <v>4</v>
      </c>
    </row>
    <row r="230" spans="1:3" x14ac:dyDescent="0.25">
      <c r="A230" t="s">
        <v>295</v>
      </c>
      <c r="B230">
        <v>242</v>
      </c>
      <c r="C230">
        <v>4</v>
      </c>
    </row>
    <row r="231" spans="1:3" x14ac:dyDescent="0.25">
      <c r="A231" t="s">
        <v>326</v>
      </c>
      <c r="B231">
        <v>243</v>
      </c>
      <c r="C231">
        <v>4</v>
      </c>
    </row>
    <row r="232" spans="1:3" x14ac:dyDescent="0.25">
      <c r="A232" t="s">
        <v>327</v>
      </c>
      <c r="B232">
        <v>244</v>
      </c>
      <c r="C232">
        <v>4</v>
      </c>
    </row>
    <row r="233" spans="1:3" x14ac:dyDescent="0.25">
      <c r="A233" t="s">
        <v>293</v>
      </c>
      <c r="B233">
        <v>245</v>
      </c>
      <c r="C233">
        <v>4</v>
      </c>
    </row>
    <row r="234" spans="1:3" x14ac:dyDescent="0.25">
      <c r="A234" t="s">
        <v>328</v>
      </c>
      <c r="B234">
        <v>246</v>
      </c>
      <c r="C234">
        <v>4</v>
      </c>
    </row>
    <row r="235" spans="1:3" x14ac:dyDescent="0.25">
      <c r="A235" t="s">
        <v>329</v>
      </c>
      <c r="B235">
        <v>247</v>
      </c>
      <c r="C235">
        <v>4</v>
      </c>
    </row>
    <row r="236" spans="1:3" x14ac:dyDescent="0.25">
      <c r="A236" t="s">
        <v>296</v>
      </c>
      <c r="B236">
        <v>248</v>
      </c>
      <c r="C236">
        <v>4</v>
      </c>
    </row>
    <row r="237" spans="1:3" x14ac:dyDescent="0.25">
      <c r="A237" t="s">
        <v>288</v>
      </c>
      <c r="B237">
        <v>249</v>
      </c>
      <c r="C237">
        <v>4</v>
      </c>
    </row>
    <row r="238" spans="1:3" x14ac:dyDescent="0.25">
      <c r="A238" t="s">
        <v>330</v>
      </c>
      <c r="B238">
        <v>250</v>
      </c>
      <c r="C238">
        <v>4</v>
      </c>
    </row>
    <row r="239" spans="1:3" x14ac:dyDescent="0.25">
      <c r="A239" t="s">
        <v>331</v>
      </c>
      <c r="B239">
        <v>251</v>
      </c>
      <c r="C239">
        <v>4</v>
      </c>
    </row>
    <row r="240" spans="1:3" x14ac:dyDescent="0.25">
      <c r="A240" t="s">
        <v>332</v>
      </c>
      <c r="B240">
        <v>252</v>
      </c>
      <c r="C240">
        <v>4</v>
      </c>
    </row>
    <row r="241" spans="1:3" x14ac:dyDescent="0.25">
      <c r="A241" t="s">
        <v>333</v>
      </c>
      <c r="B241">
        <v>253</v>
      </c>
      <c r="C241">
        <v>4</v>
      </c>
    </row>
    <row r="242" spans="1:3" x14ac:dyDescent="0.25">
      <c r="A242" t="s">
        <v>297</v>
      </c>
      <c r="B242">
        <v>254</v>
      </c>
      <c r="C242">
        <v>4</v>
      </c>
    </row>
    <row r="243" spans="1:3" x14ac:dyDescent="0.25">
      <c r="A243" t="s">
        <v>334</v>
      </c>
      <c r="B243">
        <v>255</v>
      </c>
      <c r="C243">
        <v>4</v>
      </c>
    </row>
    <row r="244" spans="1:3" x14ac:dyDescent="0.25">
      <c r="A244" t="s">
        <v>335</v>
      </c>
      <c r="B244">
        <v>256</v>
      </c>
      <c r="C244">
        <v>4</v>
      </c>
    </row>
    <row r="245" spans="1:3" x14ac:dyDescent="0.25">
      <c r="A245" t="s">
        <v>336</v>
      </c>
      <c r="B245">
        <v>257</v>
      </c>
      <c r="C245">
        <v>4</v>
      </c>
    </row>
    <row r="246" spans="1:3" x14ac:dyDescent="0.25">
      <c r="A246" t="s">
        <v>337</v>
      </c>
      <c r="B246">
        <v>258</v>
      </c>
      <c r="C246">
        <v>4</v>
      </c>
    </row>
    <row r="247" spans="1:3" x14ac:dyDescent="0.25">
      <c r="A247" t="s">
        <v>298</v>
      </c>
      <c r="B247">
        <v>259</v>
      </c>
      <c r="C247">
        <v>4</v>
      </c>
    </row>
    <row r="248" spans="1:3" x14ac:dyDescent="0.25">
      <c r="A248" t="s">
        <v>338</v>
      </c>
      <c r="B248">
        <v>260</v>
      </c>
      <c r="C248">
        <v>4</v>
      </c>
    </row>
    <row r="249" spans="1:3" x14ac:dyDescent="0.25">
      <c r="A249" t="s">
        <v>339</v>
      </c>
      <c r="B249">
        <v>261</v>
      </c>
      <c r="C249">
        <v>4</v>
      </c>
    </row>
    <row r="250" spans="1:3" x14ac:dyDescent="0.25">
      <c r="A250" t="s">
        <v>340</v>
      </c>
      <c r="B250">
        <v>262</v>
      </c>
      <c r="C250">
        <v>4</v>
      </c>
    </row>
    <row r="251" spans="1:3" x14ac:dyDescent="0.25">
      <c r="A251" t="s">
        <v>299</v>
      </c>
      <c r="B251">
        <v>263</v>
      </c>
      <c r="C251">
        <v>4</v>
      </c>
    </row>
    <row r="252" spans="1:3" x14ac:dyDescent="0.25">
      <c r="A252" t="s">
        <v>341</v>
      </c>
      <c r="B252">
        <v>264</v>
      </c>
      <c r="C252">
        <v>4</v>
      </c>
    </row>
    <row r="253" spans="1:3" x14ac:dyDescent="0.25">
      <c r="A253" t="s">
        <v>342</v>
      </c>
      <c r="B253">
        <v>265</v>
      </c>
      <c r="C253">
        <v>4</v>
      </c>
    </row>
    <row r="254" spans="1:3" x14ac:dyDescent="0.25">
      <c r="A254" t="s">
        <v>343</v>
      </c>
      <c r="B254">
        <v>267</v>
      </c>
      <c r="C254">
        <v>4</v>
      </c>
    </row>
    <row r="255" spans="1:3" x14ac:dyDescent="0.25">
      <c r="A255" t="s">
        <v>344</v>
      </c>
      <c r="B255">
        <v>268</v>
      </c>
      <c r="C255">
        <v>4</v>
      </c>
    </row>
    <row r="256" spans="1:3" x14ac:dyDescent="0.25">
      <c r="A256" t="s">
        <v>345</v>
      </c>
      <c r="B256">
        <v>269</v>
      </c>
      <c r="C256">
        <v>4</v>
      </c>
    </row>
    <row r="257" spans="1:3" x14ac:dyDescent="0.25">
      <c r="A257" t="s">
        <v>346</v>
      </c>
      <c r="B257">
        <v>270</v>
      </c>
      <c r="C257">
        <v>4</v>
      </c>
    </row>
    <row r="258" spans="1:3" x14ac:dyDescent="0.25">
      <c r="A258" t="s">
        <v>300</v>
      </c>
      <c r="B258">
        <v>271</v>
      </c>
      <c r="C258">
        <v>4</v>
      </c>
    </row>
    <row r="259" spans="1:3" x14ac:dyDescent="0.25">
      <c r="A259" t="s">
        <v>347</v>
      </c>
      <c r="B259">
        <v>272</v>
      </c>
      <c r="C259">
        <v>4</v>
      </c>
    </row>
    <row r="260" spans="1:3" x14ac:dyDescent="0.25">
      <c r="A260" t="s">
        <v>302</v>
      </c>
      <c r="B260">
        <v>273</v>
      </c>
      <c r="C260">
        <v>4</v>
      </c>
    </row>
    <row r="261" spans="1:3" x14ac:dyDescent="0.25">
      <c r="A261" t="s">
        <v>348</v>
      </c>
      <c r="B261">
        <v>274</v>
      </c>
      <c r="C261">
        <v>4</v>
      </c>
    </row>
    <row r="262" spans="1:3" x14ac:dyDescent="0.25">
      <c r="A262" t="s">
        <v>349</v>
      </c>
      <c r="B262">
        <v>275</v>
      </c>
      <c r="C262">
        <v>4</v>
      </c>
    </row>
    <row r="263" spans="1:3" x14ac:dyDescent="0.25">
      <c r="A263" t="s">
        <v>350</v>
      </c>
      <c r="B263">
        <v>276</v>
      </c>
      <c r="C263">
        <v>4</v>
      </c>
    </row>
    <row r="264" spans="1:3" x14ac:dyDescent="0.25">
      <c r="A264" t="s">
        <v>351</v>
      </c>
      <c r="B264">
        <v>277</v>
      </c>
      <c r="C264">
        <v>4</v>
      </c>
    </row>
    <row r="265" spans="1:3" x14ac:dyDescent="0.25">
      <c r="A265" t="s">
        <v>352</v>
      </c>
      <c r="B265">
        <v>278</v>
      </c>
      <c r="C265">
        <v>4</v>
      </c>
    </row>
    <row r="266" spans="1:3" x14ac:dyDescent="0.25">
      <c r="A266" t="s">
        <v>353</v>
      </c>
      <c r="B266">
        <v>279</v>
      </c>
      <c r="C266">
        <v>4</v>
      </c>
    </row>
    <row r="267" spans="1:3" x14ac:dyDescent="0.25">
      <c r="A267" t="s">
        <v>354</v>
      </c>
      <c r="B267">
        <v>280</v>
      </c>
      <c r="C267">
        <v>4</v>
      </c>
    </row>
    <row r="268" spans="1:3" x14ac:dyDescent="0.25">
      <c r="A268" t="s">
        <v>355</v>
      </c>
      <c r="B268">
        <v>281</v>
      </c>
      <c r="C268">
        <v>4</v>
      </c>
    </row>
    <row r="269" spans="1:3" x14ac:dyDescent="0.25">
      <c r="A269" t="s">
        <v>356</v>
      </c>
      <c r="B269">
        <v>282</v>
      </c>
      <c r="C269">
        <v>4</v>
      </c>
    </row>
    <row r="270" spans="1:3" x14ac:dyDescent="0.25">
      <c r="A270" t="s">
        <v>357</v>
      </c>
      <c r="B270">
        <v>283</v>
      </c>
      <c r="C270">
        <v>4</v>
      </c>
    </row>
    <row r="271" spans="1:3" x14ac:dyDescent="0.25">
      <c r="A271" t="s">
        <v>358</v>
      </c>
      <c r="B271">
        <v>284</v>
      </c>
      <c r="C271">
        <v>4</v>
      </c>
    </row>
    <row r="272" spans="1:3" x14ac:dyDescent="0.25">
      <c r="A272" t="s">
        <v>359</v>
      </c>
      <c r="B272">
        <v>285</v>
      </c>
      <c r="C272">
        <v>4</v>
      </c>
    </row>
    <row r="273" spans="1:3" x14ac:dyDescent="0.25">
      <c r="A273" t="s">
        <v>360</v>
      </c>
      <c r="B273">
        <v>286</v>
      </c>
      <c r="C273">
        <v>4</v>
      </c>
    </row>
    <row r="274" spans="1:3" x14ac:dyDescent="0.25">
      <c r="A274" t="s">
        <v>361</v>
      </c>
      <c r="B274">
        <v>287</v>
      </c>
      <c r="C274">
        <v>4</v>
      </c>
    </row>
    <row r="275" spans="1:3" x14ac:dyDescent="0.25">
      <c r="A275" t="s">
        <v>362</v>
      </c>
      <c r="B275">
        <v>288</v>
      </c>
      <c r="C275">
        <v>4</v>
      </c>
    </row>
    <row r="276" spans="1:3" x14ac:dyDescent="0.25">
      <c r="A276" t="s">
        <v>363</v>
      </c>
      <c r="B276">
        <v>289</v>
      </c>
      <c r="C276">
        <v>4</v>
      </c>
    </row>
    <row r="277" spans="1:3" x14ac:dyDescent="0.25">
      <c r="A277" t="s">
        <v>364</v>
      </c>
      <c r="B277">
        <v>290</v>
      </c>
      <c r="C277">
        <v>4</v>
      </c>
    </row>
    <row r="278" spans="1:3" x14ac:dyDescent="0.25">
      <c r="A278" t="s">
        <v>306</v>
      </c>
      <c r="B278">
        <v>291</v>
      </c>
      <c r="C278">
        <v>4</v>
      </c>
    </row>
    <row r="279" spans="1:3" x14ac:dyDescent="0.25">
      <c r="A279" t="s">
        <v>365</v>
      </c>
      <c r="B279">
        <v>292</v>
      </c>
      <c r="C279">
        <v>4</v>
      </c>
    </row>
    <row r="280" spans="1:3" x14ac:dyDescent="0.25">
      <c r="A280" t="s">
        <v>366</v>
      </c>
      <c r="B280">
        <v>293</v>
      </c>
      <c r="C280">
        <v>4</v>
      </c>
    </row>
    <row r="281" spans="1:3" x14ac:dyDescent="0.25">
      <c r="A281" t="s">
        <v>367</v>
      </c>
      <c r="B281">
        <v>294</v>
      </c>
      <c r="C281">
        <v>4</v>
      </c>
    </row>
    <row r="282" spans="1:3" x14ac:dyDescent="0.25">
      <c r="A282" t="s">
        <v>368</v>
      </c>
      <c r="B282">
        <v>295</v>
      </c>
      <c r="C282">
        <v>4</v>
      </c>
    </row>
    <row r="283" spans="1:3" x14ac:dyDescent="0.25">
      <c r="A283" t="s">
        <v>369</v>
      </c>
      <c r="B283">
        <v>296</v>
      </c>
      <c r="C283">
        <v>4</v>
      </c>
    </row>
    <row r="284" spans="1:3" x14ac:dyDescent="0.25">
      <c r="A284" t="s">
        <v>370</v>
      </c>
      <c r="B284">
        <v>297</v>
      </c>
      <c r="C284">
        <v>4</v>
      </c>
    </row>
    <row r="285" spans="1:3" x14ac:dyDescent="0.25">
      <c r="A285" t="s">
        <v>371</v>
      </c>
      <c r="B285">
        <v>298</v>
      </c>
      <c r="C285">
        <v>4</v>
      </c>
    </row>
    <row r="286" spans="1:3" x14ac:dyDescent="0.25">
      <c r="A286" t="s">
        <v>372</v>
      </c>
      <c r="B286">
        <v>299</v>
      </c>
      <c r="C286">
        <v>4</v>
      </c>
    </row>
    <row r="287" spans="1:3" x14ac:dyDescent="0.25">
      <c r="A287" t="s">
        <v>373</v>
      </c>
      <c r="B287">
        <v>300</v>
      </c>
      <c r="C287">
        <v>4</v>
      </c>
    </row>
    <row r="288" spans="1:3" x14ac:dyDescent="0.25">
      <c r="A288" t="s">
        <v>374</v>
      </c>
      <c r="B288">
        <v>301</v>
      </c>
      <c r="C288">
        <v>4</v>
      </c>
    </row>
    <row r="289" spans="1:3" x14ac:dyDescent="0.25">
      <c r="A289" t="s">
        <v>303</v>
      </c>
      <c r="B289">
        <v>302</v>
      </c>
      <c r="C289">
        <v>4</v>
      </c>
    </row>
    <row r="290" spans="1:3" x14ac:dyDescent="0.25">
      <c r="A290" t="s">
        <v>375</v>
      </c>
      <c r="B290">
        <v>303</v>
      </c>
      <c r="C290">
        <v>4</v>
      </c>
    </row>
    <row r="291" spans="1:3" x14ac:dyDescent="0.25">
      <c r="A291" t="s">
        <v>305</v>
      </c>
      <c r="B291">
        <v>304</v>
      </c>
      <c r="C291">
        <v>4</v>
      </c>
    </row>
    <row r="292" spans="1:3" x14ac:dyDescent="0.25">
      <c r="A292" t="s">
        <v>376</v>
      </c>
      <c r="B292">
        <v>305</v>
      </c>
      <c r="C292">
        <v>4</v>
      </c>
    </row>
    <row r="293" spans="1:3" x14ac:dyDescent="0.25">
      <c r="A293" t="s">
        <v>377</v>
      </c>
      <c r="B293">
        <v>306</v>
      </c>
      <c r="C293">
        <v>4</v>
      </c>
    </row>
    <row r="294" spans="1:3" x14ac:dyDescent="0.25">
      <c r="A294" t="s">
        <v>378</v>
      </c>
      <c r="B294">
        <v>307</v>
      </c>
      <c r="C294">
        <v>4</v>
      </c>
    </row>
    <row r="295" spans="1:3" x14ac:dyDescent="0.25">
      <c r="A295" t="s">
        <v>379</v>
      </c>
      <c r="B295">
        <v>308</v>
      </c>
      <c r="C295">
        <v>4</v>
      </c>
    </row>
    <row r="296" spans="1:3" x14ac:dyDescent="0.25">
      <c r="A296" t="s">
        <v>307</v>
      </c>
      <c r="B296">
        <v>309</v>
      </c>
      <c r="C296">
        <v>4</v>
      </c>
    </row>
    <row r="297" spans="1:3" x14ac:dyDescent="0.25">
      <c r="A297" t="s">
        <v>380</v>
      </c>
      <c r="B297">
        <v>310</v>
      </c>
      <c r="C297">
        <v>4</v>
      </c>
    </row>
    <row r="298" spans="1:3" x14ac:dyDescent="0.25">
      <c r="A298" t="s">
        <v>381</v>
      </c>
      <c r="B298">
        <v>311</v>
      </c>
      <c r="C298">
        <v>4</v>
      </c>
    </row>
    <row r="299" spans="1:3" x14ac:dyDescent="0.25">
      <c r="A299" t="s">
        <v>382</v>
      </c>
      <c r="B299">
        <v>312</v>
      </c>
      <c r="C299">
        <v>4</v>
      </c>
    </row>
    <row r="300" spans="1:3" x14ac:dyDescent="0.25">
      <c r="A300" t="s">
        <v>309</v>
      </c>
      <c r="B300">
        <v>313</v>
      </c>
      <c r="C300">
        <v>4</v>
      </c>
    </row>
    <row r="301" spans="1:3" x14ac:dyDescent="0.25">
      <c r="A301" t="s">
        <v>383</v>
      </c>
      <c r="B301">
        <v>314</v>
      </c>
      <c r="C301">
        <v>4</v>
      </c>
    </row>
    <row r="302" spans="1:3" x14ac:dyDescent="0.25">
      <c r="A302" t="s">
        <v>384</v>
      </c>
      <c r="B302">
        <v>315</v>
      </c>
      <c r="C302">
        <v>4</v>
      </c>
    </row>
    <row r="303" spans="1:3" x14ac:dyDescent="0.25">
      <c r="A303" t="s">
        <v>385</v>
      </c>
      <c r="B303">
        <v>316</v>
      </c>
      <c r="C303">
        <v>4</v>
      </c>
    </row>
    <row r="304" spans="1:3" x14ac:dyDescent="0.25">
      <c r="A304" t="s">
        <v>386</v>
      </c>
      <c r="B304">
        <v>317</v>
      </c>
      <c r="C304">
        <v>4</v>
      </c>
    </row>
    <row r="305" spans="1:3" x14ac:dyDescent="0.25">
      <c r="A305" t="s">
        <v>387</v>
      </c>
      <c r="B305">
        <v>318</v>
      </c>
      <c r="C305">
        <v>4</v>
      </c>
    </row>
    <row r="306" spans="1:3" x14ac:dyDescent="0.25">
      <c r="A306" t="s">
        <v>310</v>
      </c>
      <c r="B306">
        <v>319</v>
      </c>
      <c r="C306">
        <v>4</v>
      </c>
    </row>
    <row r="307" spans="1:3" x14ac:dyDescent="0.25">
      <c r="A307" t="s">
        <v>388</v>
      </c>
      <c r="B307">
        <v>320</v>
      </c>
      <c r="C307">
        <v>4</v>
      </c>
    </row>
    <row r="308" spans="1:3" x14ac:dyDescent="0.25">
      <c r="A308" t="s">
        <v>301</v>
      </c>
      <c r="B308">
        <v>321</v>
      </c>
      <c r="C308">
        <v>4</v>
      </c>
    </row>
    <row r="309" spans="1:3" x14ac:dyDescent="0.25">
      <c r="A309" t="s">
        <v>389</v>
      </c>
      <c r="B309">
        <v>322</v>
      </c>
      <c r="C309">
        <v>4</v>
      </c>
    </row>
    <row r="310" spans="1:3" x14ac:dyDescent="0.25">
      <c r="A310" t="s">
        <v>311</v>
      </c>
      <c r="B310">
        <v>323</v>
      </c>
      <c r="C310">
        <v>4</v>
      </c>
    </row>
    <row r="311" spans="1:3" x14ac:dyDescent="0.25">
      <c r="A311" t="s">
        <v>390</v>
      </c>
      <c r="B311">
        <v>324</v>
      </c>
      <c r="C311">
        <v>4</v>
      </c>
    </row>
    <row r="312" spans="1:3" x14ac:dyDescent="0.25">
      <c r="A312" t="s">
        <v>312</v>
      </c>
      <c r="B312">
        <v>325</v>
      </c>
      <c r="C312">
        <v>4</v>
      </c>
    </row>
    <row r="313" spans="1:3" x14ac:dyDescent="0.25">
      <c r="A313" t="s">
        <v>313</v>
      </c>
      <c r="B313">
        <v>326</v>
      </c>
      <c r="C313">
        <v>4</v>
      </c>
    </row>
    <row r="314" spans="1:3" x14ac:dyDescent="0.25">
      <c r="A314" t="s">
        <v>391</v>
      </c>
      <c r="B314">
        <v>327</v>
      </c>
      <c r="C314">
        <v>4</v>
      </c>
    </row>
    <row r="315" spans="1:3" x14ac:dyDescent="0.25">
      <c r="A315" t="s">
        <v>392</v>
      </c>
      <c r="B315">
        <v>328</v>
      </c>
      <c r="C315">
        <v>4</v>
      </c>
    </row>
    <row r="316" spans="1:3" x14ac:dyDescent="0.25">
      <c r="A316" t="s">
        <v>393</v>
      </c>
      <c r="B316">
        <v>329</v>
      </c>
      <c r="C316">
        <v>4</v>
      </c>
    </row>
    <row r="317" spans="1:3" x14ac:dyDescent="0.25">
      <c r="A317" t="s">
        <v>394</v>
      </c>
      <c r="B317">
        <v>330</v>
      </c>
      <c r="C317">
        <v>4</v>
      </c>
    </row>
    <row r="318" spans="1:3" x14ac:dyDescent="0.25">
      <c r="A318" t="s">
        <v>395</v>
      </c>
      <c r="B318">
        <v>331</v>
      </c>
      <c r="C318">
        <v>4</v>
      </c>
    </row>
    <row r="319" spans="1:3" x14ac:dyDescent="0.25">
      <c r="A319" t="s">
        <v>316</v>
      </c>
      <c r="B319">
        <v>332</v>
      </c>
      <c r="C319">
        <v>4</v>
      </c>
    </row>
    <row r="320" spans="1:3" x14ac:dyDescent="0.25">
      <c r="A320" t="s">
        <v>396</v>
      </c>
      <c r="B320">
        <v>333</v>
      </c>
      <c r="C32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2"/>
  <sheetViews>
    <sheetView topLeftCell="A9"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2000</v>
      </c>
      <c r="B2">
        <v>1</v>
      </c>
    </row>
    <row r="3" spans="1:2" x14ac:dyDescent="0.25">
      <c r="A3">
        <v>2001</v>
      </c>
      <c r="B3">
        <v>2</v>
      </c>
    </row>
    <row r="4" spans="1:2" x14ac:dyDescent="0.25">
      <c r="A4">
        <v>2002</v>
      </c>
      <c r="B4">
        <v>3</v>
      </c>
    </row>
    <row r="5" spans="1:2" x14ac:dyDescent="0.25">
      <c r="A5">
        <v>2003</v>
      </c>
      <c r="B5">
        <v>4</v>
      </c>
    </row>
    <row r="6" spans="1:2" x14ac:dyDescent="0.25">
      <c r="A6">
        <v>2004</v>
      </c>
      <c r="B6">
        <v>5</v>
      </c>
    </row>
    <row r="7" spans="1:2" x14ac:dyDescent="0.25">
      <c r="A7">
        <v>2005</v>
      </c>
      <c r="B7">
        <v>6</v>
      </c>
    </row>
    <row r="8" spans="1:2" x14ac:dyDescent="0.25">
      <c r="A8">
        <v>2006</v>
      </c>
      <c r="B8">
        <v>7</v>
      </c>
    </row>
    <row r="9" spans="1:2" x14ac:dyDescent="0.25">
      <c r="A9">
        <v>2007</v>
      </c>
      <c r="B9">
        <v>8</v>
      </c>
    </row>
    <row r="10" spans="1:2" x14ac:dyDescent="0.25">
      <c r="A10">
        <v>2008</v>
      </c>
      <c r="B10">
        <v>9</v>
      </c>
    </row>
    <row r="11" spans="1:2" x14ac:dyDescent="0.25">
      <c r="A11">
        <v>2009</v>
      </c>
      <c r="B11">
        <v>10</v>
      </c>
    </row>
    <row r="12" spans="1:2" x14ac:dyDescent="0.25">
      <c r="A12">
        <v>2010</v>
      </c>
      <c r="B12">
        <v>11</v>
      </c>
    </row>
    <row r="13" spans="1:2" x14ac:dyDescent="0.25">
      <c r="A13">
        <v>2011</v>
      </c>
      <c r="B13">
        <v>12</v>
      </c>
    </row>
    <row r="14" spans="1:2" x14ac:dyDescent="0.25">
      <c r="A14">
        <v>2012</v>
      </c>
      <c r="B14">
        <v>13</v>
      </c>
    </row>
    <row r="15" spans="1:2" x14ac:dyDescent="0.25">
      <c r="A15">
        <v>2013</v>
      </c>
      <c r="B15">
        <v>14</v>
      </c>
    </row>
    <row r="16" spans="1:2" x14ac:dyDescent="0.25">
      <c r="A16">
        <v>2014</v>
      </c>
      <c r="B16">
        <v>15</v>
      </c>
    </row>
    <row r="17" spans="1:2" x14ac:dyDescent="0.25">
      <c r="A17">
        <v>2015</v>
      </c>
      <c r="B17">
        <v>16</v>
      </c>
    </row>
    <row r="18" spans="1:2" x14ac:dyDescent="0.25">
      <c r="A18">
        <v>2016</v>
      </c>
      <c r="B18">
        <v>17</v>
      </c>
    </row>
    <row r="19" spans="1:2" x14ac:dyDescent="0.25">
      <c r="A19">
        <v>2017</v>
      </c>
      <c r="B19">
        <v>18</v>
      </c>
    </row>
    <row r="20" spans="1:2" x14ac:dyDescent="0.25">
      <c r="A20">
        <v>2018</v>
      </c>
      <c r="B20">
        <v>19</v>
      </c>
    </row>
    <row r="21" spans="1:2" x14ac:dyDescent="0.25">
      <c r="A21">
        <v>2019</v>
      </c>
      <c r="B21">
        <v>20</v>
      </c>
    </row>
    <row r="22" spans="1:2" x14ac:dyDescent="0.25">
      <c r="A22">
        <v>2020</v>
      </c>
      <c r="B22">
        <v>21</v>
      </c>
    </row>
    <row r="23" spans="1:2" x14ac:dyDescent="0.25">
      <c r="A23">
        <v>2021</v>
      </c>
      <c r="B23">
        <v>22</v>
      </c>
    </row>
    <row r="24" spans="1:2" x14ac:dyDescent="0.25">
      <c r="A24">
        <v>2022</v>
      </c>
      <c r="B24">
        <v>23</v>
      </c>
    </row>
    <row r="25" spans="1:2" x14ac:dyDescent="0.25">
      <c r="A25">
        <v>2023</v>
      </c>
      <c r="B25">
        <v>24</v>
      </c>
    </row>
    <row r="26" spans="1:2" x14ac:dyDescent="0.25">
      <c r="A26">
        <v>2024</v>
      </c>
      <c r="B26">
        <v>25</v>
      </c>
    </row>
    <row r="27" spans="1:2" x14ac:dyDescent="0.25">
      <c r="A27">
        <v>2025</v>
      </c>
      <c r="B27">
        <v>26</v>
      </c>
    </row>
    <row r="28" spans="1:2" x14ac:dyDescent="0.25">
      <c r="A28">
        <v>2026</v>
      </c>
      <c r="B28">
        <v>27</v>
      </c>
    </row>
    <row r="29" spans="1:2" x14ac:dyDescent="0.25">
      <c r="A29">
        <v>2027</v>
      </c>
      <c r="B29">
        <v>28</v>
      </c>
    </row>
    <row r="30" spans="1:2" x14ac:dyDescent="0.25">
      <c r="A30">
        <v>2028</v>
      </c>
      <c r="B30">
        <v>29</v>
      </c>
    </row>
    <row r="31" spans="1:2" x14ac:dyDescent="0.25">
      <c r="A31">
        <v>2029</v>
      </c>
      <c r="B31">
        <v>30</v>
      </c>
    </row>
    <row r="32" spans="1:2" x14ac:dyDescent="0.25">
      <c r="A32">
        <v>2030</v>
      </c>
      <c r="B32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397</v>
      </c>
      <c r="B2">
        <v>2</v>
      </c>
    </row>
    <row r="3" spans="1:2" x14ac:dyDescent="0.25">
      <c r="A3" t="s">
        <v>398</v>
      </c>
      <c r="B3">
        <v>1</v>
      </c>
    </row>
    <row r="4" spans="1:2" x14ac:dyDescent="0.25">
      <c r="A4" t="s">
        <v>399</v>
      </c>
      <c r="B4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"/>
  <sheetViews>
    <sheetView workbookViewId="0">
      <selection activeCell="A4" sqref="A4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400</v>
      </c>
      <c r="B2">
        <v>1</v>
      </c>
    </row>
    <row r="3" spans="1:2" x14ac:dyDescent="0.25">
      <c r="A3" t="s">
        <v>401</v>
      </c>
      <c r="B3">
        <v>2</v>
      </c>
    </row>
    <row r="4" spans="1:2" x14ac:dyDescent="0.25">
      <c r="A4" t="s">
        <v>402</v>
      </c>
      <c r="B4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69"/>
  <sheetViews>
    <sheetView tabSelected="1" topLeftCell="E1" workbookViewId="0">
      <selection activeCell="K2" sqref="K2"/>
    </sheetView>
  </sheetViews>
  <sheetFormatPr baseColWidth="10" defaultColWidth="9.140625" defaultRowHeight="15" x14ac:dyDescent="0.25"/>
  <cols>
    <col min="1" max="1" width="18.140625" bestFit="1" customWidth="1"/>
    <col min="2" max="2" width="126" style="1" bestFit="1" customWidth="1"/>
    <col min="5" max="5" width="79.42578125" bestFit="1" customWidth="1"/>
    <col min="7" max="7" width="18.85546875" bestFit="1" customWidth="1"/>
  </cols>
  <sheetData>
    <row r="1" spans="1:11" x14ac:dyDescent="0.25">
      <c r="A1" t="s">
        <v>403</v>
      </c>
      <c r="B1" s="1" t="s">
        <v>404</v>
      </c>
      <c r="C1" t="s">
        <v>405</v>
      </c>
      <c r="D1" t="s">
        <v>406</v>
      </c>
      <c r="E1" t="s">
        <v>407</v>
      </c>
      <c r="F1" t="s">
        <v>408</v>
      </c>
      <c r="G1" t="s">
        <v>409</v>
      </c>
      <c r="H1" t="s">
        <v>410</v>
      </c>
      <c r="I1" t="s">
        <v>411</v>
      </c>
      <c r="K1" t="s">
        <v>412</v>
      </c>
    </row>
    <row r="2" spans="1:11" x14ac:dyDescent="0.25">
      <c r="A2" t="s">
        <v>413</v>
      </c>
      <c r="B2" s="2" t="s">
        <v>2</v>
      </c>
      <c r="C2" s="4" t="s">
        <v>136</v>
      </c>
      <c r="D2" t="s">
        <v>125</v>
      </c>
      <c r="E2" t="s">
        <v>78</v>
      </c>
      <c r="F2" s="4" t="s">
        <v>399</v>
      </c>
      <c r="G2" s="4" t="s">
        <v>402</v>
      </c>
      <c r="H2">
        <v>2021</v>
      </c>
      <c r="I2">
        <v>41.2</v>
      </c>
      <c r="K2" t="s">
        <v>77</v>
      </c>
    </row>
    <row r="3" spans="1:11" x14ac:dyDescent="0.25">
      <c r="A3" t="s">
        <v>414</v>
      </c>
      <c r="B3" s="2" t="s">
        <v>3</v>
      </c>
      <c r="C3" s="4" t="s">
        <v>136</v>
      </c>
      <c r="D3" t="s">
        <v>125</v>
      </c>
      <c r="E3" t="s">
        <v>78</v>
      </c>
      <c r="F3" s="4" t="s">
        <v>399</v>
      </c>
      <c r="G3" s="4" t="s">
        <v>402</v>
      </c>
      <c r="H3">
        <v>2021</v>
      </c>
      <c r="I3">
        <v>71.5</v>
      </c>
      <c r="K3" t="s">
        <v>77</v>
      </c>
    </row>
    <row r="4" spans="1:11" x14ac:dyDescent="0.25">
      <c r="A4" t="s">
        <v>415</v>
      </c>
      <c r="B4" s="2" t="s">
        <v>4</v>
      </c>
      <c r="C4" s="4" t="s">
        <v>136</v>
      </c>
      <c r="D4" t="s">
        <v>126</v>
      </c>
      <c r="E4" t="s">
        <v>79</v>
      </c>
      <c r="F4" s="4" t="s">
        <v>399</v>
      </c>
      <c r="G4" s="4" t="s">
        <v>402</v>
      </c>
      <c r="H4">
        <v>2023</v>
      </c>
      <c r="I4">
        <v>65.900000000000006</v>
      </c>
      <c r="K4" t="s">
        <v>77</v>
      </c>
    </row>
    <row r="5" spans="1:11" x14ac:dyDescent="0.25">
      <c r="A5" t="s">
        <v>416</v>
      </c>
      <c r="B5" s="2" t="s">
        <v>5</v>
      </c>
      <c r="C5" s="4" t="s">
        <v>136</v>
      </c>
      <c r="D5" t="s">
        <v>125</v>
      </c>
      <c r="E5" t="s">
        <v>78</v>
      </c>
      <c r="F5" s="4" t="s">
        <v>399</v>
      </c>
      <c r="G5" s="4" t="s">
        <v>402</v>
      </c>
      <c r="H5">
        <v>2021</v>
      </c>
      <c r="I5">
        <v>79.2</v>
      </c>
      <c r="K5" t="s">
        <v>77</v>
      </c>
    </row>
    <row r="6" spans="1:11" x14ac:dyDescent="0.25">
      <c r="A6" t="s">
        <v>417</v>
      </c>
      <c r="B6" s="2" t="s">
        <v>6</v>
      </c>
      <c r="C6" s="4" t="s">
        <v>136</v>
      </c>
      <c r="D6" t="s">
        <v>125</v>
      </c>
      <c r="E6" t="s">
        <v>80</v>
      </c>
      <c r="F6" s="4" t="s">
        <v>399</v>
      </c>
      <c r="G6" s="4" t="s">
        <v>402</v>
      </c>
      <c r="H6">
        <v>2024</v>
      </c>
      <c r="I6">
        <v>20.3</v>
      </c>
      <c r="K6" t="s">
        <v>77</v>
      </c>
    </row>
    <row r="7" spans="1:11" x14ac:dyDescent="0.25">
      <c r="A7" t="s">
        <v>418</v>
      </c>
      <c r="B7" s="2" t="s">
        <v>7</v>
      </c>
      <c r="C7" s="4" t="s">
        <v>136</v>
      </c>
      <c r="D7" t="s">
        <v>125</v>
      </c>
      <c r="E7" t="s">
        <v>81</v>
      </c>
      <c r="F7" s="4" t="s">
        <v>399</v>
      </c>
      <c r="G7" s="4" t="s">
        <v>402</v>
      </c>
      <c r="H7">
        <v>2022</v>
      </c>
      <c r="I7">
        <v>50.37</v>
      </c>
      <c r="K7" t="s">
        <v>77</v>
      </c>
    </row>
    <row r="8" spans="1:11" x14ac:dyDescent="0.25">
      <c r="A8" t="s">
        <v>419</v>
      </c>
      <c r="B8" s="2" t="s">
        <v>8</v>
      </c>
      <c r="C8" s="4" t="s">
        <v>136</v>
      </c>
      <c r="D8" t="s">
        <v>125</v>
      </c>
      <c r="E8" t="s">
        <v>82</v>
      </c>
      <c r="F8" s="4" t="s">
        <v>399</v>
      </c>
      <c r="G8" s="4" t="s">
        <v>402</v>
      </c>
      <c r="H8">
        <v>2023</v>
      </c>
      <c r="I8">
        <v>35.950000000000003</v>
      </c>
      <c r="K8" t="s">
        <v>77</v>
      </c>
    </row>
    <row r="9" spans="1:11" x14ac:dyDescent="0.25">
      <c r="A9" t="s">
        <v>420</v>
      </c>
      <c r="B9" s="2" t="s">
        <v>9</v>
      </c>
      <c r="C9" s="4" t="s">
        <v>136</v>
      </c>
      <c r="D9" t="s">
        <v>125</v>
      </c>
      <c r="E9" t="s">
        <v>82</v>
      </c>
      <c r="F9" s="4" t="s">
        <v>399</v>
      </c>
      <c r="G9" s="4" t="s">
        <v>402</v>
      </c>
      <c r="H9">
        <v>2023</v>
      </c>
      <c r="I9">
        <v>18.04</v>
      </c>
      <c r="K9" t="s">
        <v>77</v>
      </c>
    </row>
    <row r="10" spans="1:11" x14ac:dyDescent="0.25">
      <c r="A10" t="s">
        <v>421</v>
      </c>
      <c r="B10" s="2" t="s">
        <v>10</v>
      </c>
      <c r="C10" s="4" t="s">
        <v>136</v>
      </c>
      <c r="D10" t="s">
        <v>125</v>
      </c>
      <c r="E10" t="s">
        <v>78</v>
      </c>
      <c r="F10" s="4" t="s">
        <v>399</v>
      </c>
      <c r="G10" s="4" t="s">
        <v>402</v>
      </c>
      <c r="H10">
        <v>2021</v>
      </c>
      <c r="I10">
        <v>9.3000000000000007</v>
      </c>
      <c r="K10" t="s">
        <v>77</v>
      </c>
    </row>
    <row r="11" spans="1:11" x14ac:dyDescent="0.25">
      <c r="A11" t="s">
        <v>422</v>
      </c>
      <c r="B11" s="2" t="s">
        <v>11</v>
      </c>
      <c r="C11" s="4" t="s">
        <v>136</v>
      </c>
      <c r="D11" t="s">
        <v>125</v>
      </c>
      <c r="E11" t="s">
        <v>78</v>
      </c>
      <c r="F11" s="4" t="s">
        <v>399</v>
      </c>
      <c r="G11" s="4" t="s">
        <v>402</v>
      </c>
      <c r="H11">
        <v>2021</v>
      </c>
      <c r="I11">
        <v>60.4</v>
      </c>
      <c r="K11" t="s">
        <v>77</v>
      </c>
    </row>
    <row r="12" spans="1:11" x14ac:dyDescent="0.25">
      <c r="A12" t="s">
        <v>423</v>
      </c>
      <c r="B12" s="2" t="s">
        <v>12</v>
      </c>
      <c r="C12" s="4" t="s">
        <v>136</v>
      </c>
      <c r="D12" s="4" t="s">
        <v>125</v>
      </c>
      <c r="E12" t="s">
        <v>83</v>
      </c>
      <c r="F12" s="4" t="s">
        <v>399</v>
      </c>
      <c r="G12" s="4" t="s">
        <v>402</v>
      </c>
      <c r="H12">
        <v>2022</v>
      </c>
      <c r="I12">
        <v>74.400000000000006</v>
      </c>
      <c r="K12" t="s">
        <v>77</v>
      </c>
    </row>
    <row r="13" spans="1:11" x14ac:dyDescent="0.25">
      <c r="A13" t="s">
        <v>424</v>
      </c>
      <c r="B13" s="2" t="s">
        <v>13</v>
      </c>
      <c r="C13" s="4" t="s">
        <v>136</v>
      </c>
      <c r="D13" t="s">
        <v>127</v>
      </c>
      <c r="E13" t="s">
        <v>84</v>
      </c>
      <c r="F13" s="4" t="s">
        <v>399</v>
      </c>
      <c r="G13" s="4" t="s">
        <v>402</v>
      </c>
      <c r="H13">
        <v>2023</v>
      </c>
      <c r="I13">
        <v>19</v>
      </c>
      <c r="K13" t="s">
        <v>77</v>
      </c>
    </row>
    <row r="14" spans="1:11" x14ac:dyDescent="0.25">
      <c r="A14" t="s">
        <v>425</v>
      </c>
      <c r="B14" s="2" t="s">
        <v>14</v>
      </c>
      <c r="C14" s="4" t="s">
        <v>136</v>
      </c>
      <c r="D14" t="s">
        <v>125</v>
      </c>
      <c r="E14" t="s">
        <v>84</v>
      </c>
      <c r="F14" s="4" t="s">
        <v>399</v>
      </c>
      <c r="G14" s="4" t="s">
        <v>402</v>
      </c>
      <c r="H14">
        <v>2024</v>
      </c>
      <c r="I14">
        <v>70.150000000000006</v>
      </c>
      <c r="K14" t="s">
        <v>77</v>
      </c>
    </row>
    <row r="15" spans="1:11" x14ac:dyDescent="0.25">
      <c r="A15" t="s">
        <v>426</v>
      </c>
      <c r="B15" s="2" t="s">
        <v>15</v>
      </c>
      <c r="C15" s="4" t="s">
        <v>136</v>
      </c>
      <c r="D15" t="s">
        <v>125</v>
      </c>
      <c r="E15" t="s">
        <v>78</v>
      </c>
      <c r="F15" s="4" t="s">
        <v>399</v>
      </c>
      <c r="G15" s="4" t="s">
        <v>402</v>
      </c>
      <c r="H15">
        <v>2021</v>
      </c>
      <c r="I15">
        <v>40.1</v>
      </c>
      <c r="K15" t="s">
        <v>77</v>
      </c>
    </row>
    <row r="16" spans="1:11" x14ac:dyDescent="0.25">
      <c r="A16" t="s">
        <v>427</v>
      </c>
      <c r="B16" s="2" t="s">
        <v>16</v>
      </c>
      <c r="C16" s="4" t="s">
        <v>136</v>
      </c>
      <c r="D16" t="s">
        <v>128</v>
      </c>
      <c r="E16" t="s">
        <v>85</v>
      </c>
      <c r="F16" s="4" t="s">
        <v>399</v>
      </c>
      <c r="G16" s="4" t="s">
        <v>402</v>
      </c>
      <c r="H16">
        <v>2024</v>
      </c>
      <c r="I16">
        <v>2</v>
      </c>
      <c r="K16" t="s">
        <v>77</v>
      </c>
    </row>
    <row r="17" spans="1:11" x14ac:dyDescent="0.25">
      <c r="A17" t="s">
        <v>428</v>
      </c>
      <c r="B17" s="2" t="s">
        <v>17</v>
      </c>
      <c r="C17" s="4" t="s">
        <v>136</v>
      </c>
      <c r="D17" t="s">
        <v>125</v>
      </c>
      <c r="E17" t="s">
        <v>86</v>
      </c>
      <c r="F17" s="4" t="s">
        <v>399</v>
      </c>
      <c r="G17" s="4" t="s">
        <v>402</v>
      </c>
      <c r="H17">
        <v>2021</v>
      </c>
      <c r="I17">
        <v>37.65</v>
      </c>
      <c r="K17" t="s">
        <v>77</v>
      </c>
    </row>
    <row r="18" spans="1:11" x14ac:dyDescent="0.25">
      <c r="A18" t="s">
        <v>429</v>
      </c>
      <c r="B18" s="3" t="s">
        <v>18</v>
      </c>
      <c r="C18" s="4" t="s">
        <v>136</v>
      </c>
      <c r="D18" t="s">
        <v>125</v>
      </c>
      <c r="E18" t="s">
        <v>87</v>
      </c>
      <c r="F18" s="4" t="s">
        <v>399</v>
      </c>
      <c r="G18" s="4" t="s">
        <v>402</v>
      </c>
      <c r="H18">
        <v>2024</v>
      </c>
      <c r="I18">
        <v>70</v>
      </c>
      <c r="K18" t="s">
        <v>77</v>
      </c>
    </row>
    <row r="19" spans="1:11" x14ac:dyDescent="0.25">
      <c r="A19" t="s">
        <v>430</v>
      </c>
      <c r="B19" s="2" t="s">
        <v>19</v>
      </c>
      <c r="C19" s="4" t="s">
        <v>136</v>
      </c>
      <c r="D19" t="s">
        <v>125</v>
      </c>
      <c r="E19" t="s">
        <v>84</v>
      </c>
      <c r="F19" s="4" t="s">
        <v>399</v>
      </c>
      <c r="G19" s="4" t="s">
        <v>402</v>
      </c>
      <c r="H19">
        <v>2024</v>
      </c>
      <c r="I19">
        <v>50</v>
      </c>
      <c r="K19" t="s">
        <v>77</v>
      </c>
    </row>
    <row r="20" spans="1:11" x14ac:dyDescent="0.25">
      <c r="A20" t="s">
        <v>431</v>
      </c>
      <c r="B20" s="2" t="s">
        <v>20</v>
      </c>
      <c r="C20" s="4" t="s">
        <v>136</v>
      </c>
      <c r="D20" t="s">
        <v>125</v>
      </c>
      <c r="E20" t="s">
        <v>84</v>
      </c>
      <c r="F20" s="4" t="s">
        <v>399</v>
      </c>
      <c r="G20" s="4" t="s">
        <v>402</v>
      </c>
      <c r="H20">
        <v>2024</v>
      </c>
      <c r="I20">
        <v>30.1</v>
      </c>
      <c r="K20" t="s">
        <v>77</v>
      </c>
    </row>
    <row r="21" spans="1:11" x14ac:dyDescent="0.25">
      <c r="A21" t="s">
        <v>432</v>
      </c>
      <c r="B21" s="2" t="s">
        <v>21</v>
      </c>
      <c r="C21" s="4" t="s">
        <v>136</v>
      </c>
      <c r="D21" t="s">
        <v>125</v>
      </c>
      <c r="E21" t="s">
        <v>88</v>
      </c>
      <c r="F21" s="4" t="s">
        <v>399</v>
      </c>
      <c r="G21" s="4" t="s">
        <v>402</v>
      </c>
      <c r="H21">
        <v>2018</v>
      </c>
      <c r="I21">
        <v>40</v>
      </c>
      <c r="K21" t="s">
        <v>77</v>
      </c>
    </row>
    <row r="22" spans="1:11" x14ac:dyDescent="0.25">
      <c r="A22" t="s">
        <v>433</v>
      </c>
      <c r="B22" s="3" t="s">
        <v>22</v>
      </c>
      <c r="C22" s="4" t="s">
        <v>136</v>
      </c>
      <c r="D22" t="s">
        <v>129</v>
      </c>
      <c r="E22" t="s">
        <v>89</v>
      </c>
      <c r="F22" s="4" t="s">
        <v>399</v>
      </c>
      <c r="G22" s="4" t="s">
        <v>402</v>
      </c>
      <c r="H22">
        <v>2023</v>
      </c>
      <c r="I22">
        <v>85</v>
      </c>
      <c r="K22" t="s">
        <v>77</v>
      </c>
    </row>
    <row r="23" spans="1:11" x14ac:dyDescent="0.25">
      <c r="A23" t="s">
        <v>434</v>
      </c>
      <c r="B23" s="2" t="s">
        <v>23</v>
      </c>
      <c r="C23" s="4" t="s">
        <v>136</v>
      </c>
      <c r="D23" t="s">
        <v>125</v>
      </c>
      <c r="E23" t="s">
        <v>90</v>
      </c>
      <c r="F23" s="4" t="s">
        <v>399</v>
      </c>
      <c r="G23" s="4" t="s">
        <v>402</v>
      </c>
      <c r="H23">
        <v>2024</v>
      </c>
      <c r="I23">
        <v>8.5</v>
      </c>
      <c r="K23" t="s">
        <v>77</v>
      </c>
    </row>
    <row r="24" spans="1:11" x14ac:dyDescent="0.25">
      <c r="A24" t="s">
        <v>435</v>
      </c>
      <c r="B24" s="2" t="s">
        <v>24</v>
      </c>
      <c r="C24" s="4" t="s">
        <v>136</v>
      </c>
      <c r="D24" t="s">
        <v>130</v>
      </c>
      <c r="E24" t="s">
        <v>78</v>
      </c>
      <c r="F24" s="4" t="s">
        <v>399</v>
      </c>
      <c r="G24" s="4" t="s">
        <v>402</v>
      </c>
      <c r="H24">
        <v>2021</v>
      </c>
      <c r="I24">
        <v>0.33</v>
      </c>
      <c r="K24" t="s">
        <v>77</v>
      </c>
    </row>
    <row r="25" spans="1:11" x14ac:dyDescent="0.25">
      <c r="A25" t="s">
        <v>436</v>
      </c>
      <c r="B25" s="2" t="s">
        <v>25</v>
      </c>
      <c r="C25" s="4" t="s">
        <v>136</v>
      </c>
      <c r="D25" t="s">
        <v>125</v>
      </c>
      <c r="E25" t="s">
        <v>91</v>
      </c>
      <c r="F25" s="4" t="s">
        <v>399</v>
      </c>
      <c r="G25" s="4" t="s">
        <v>402</v>
      </c>
      <c r="H25">
        <v>2024</v>
      </c>
      <c r="I25">
        <v>68.98</v>
      </c>
      <c r="K25" t="s">
        <v>77</v>
      </c>
    </row>
    <row r="26" spans="1:11" x14ac:dyDescent="0.25">
      <c r="A26" t="s">
        <v>437</v>
      </c>
      <c r="B26" s="2" t="s">
        <v>26</v>
      </c>
      <c r="C26" s="4" t="s">
        <v>136</v>
      </c>
      <c r="D26" t="s">
        <v>125</v>
      </c>
      <c r="E26" t="s">
        <v>92</v>
      </c>
      <c r="F26" s="4" t="s">
        <v>399</v>
      </c>
      <c r="G26" s="4" t="s">
        <v>402</v>
      </c>
      <c r="H26">
        <v>2024</v>
      </c>
      <c r="I26">
        <v>15</v>
      </c>
      <c r="K26" t="s">
        <v>77</v>
      </c>
    </row>
    <row r="27" spans="1:11" x14ac:dyDescent="0.25">
      <c r="A27" t="s">
        <v>438</v>
      </c>
      <c r="B27" s="3" t="s">
        <v>27</v>
      </c>
      <c r="C27" s="4" t="s">
        <v>136</v>
      </c>
      <c r="D27" t="s">
        <v>125</v>
      </c>
      <c r="E27" t="s">
        <v>93</v>
      </c>
      <c r="F27" s="4" t="s">
        <v>399</v>
      </c>
      <c r="G27" s="4" t="s">
        <v>402</v>
      </c>
      <c r="H27">
        <v>2024</v>
      </c>
      <c r="I27">
        <v>7</v>
      </c>
      <c r="K27" t="s">
        <v>77</v>
      </c>
    </row>
    <row r="28" spans="1:11" x14ac:dyDescent="0.25">
      <c r="A28" t="s">
        <v>439</v>
      </c>
      <c r="B28" s="2" t="s">
        <v>29</v>
      </c>
      <c r="C28" s="4" t="s">
        <v>136</v>
      </c>
      <c r="D28" t="s">
        <v>125</v>
      </c>
      <c r="E28" t="s">
        <v>95</v>
      </c>
      <c r="F28" s="4" t="s">
        <v>399</v>
      </c>
      <c r="G28" s="4" t="s">
        <v>402</v>
      </c>
      <c r="H28">
        <v>2023</v>
      </c>
      <c r="I28">
        <v>11.7</v>
      </c>
      <c r="K28" t="s">
        <v>77</v>
      </c>
    </row>
    <row r="29" spans="1:11" x14ac:dyDescent="0.25">
      <c r="A29" t="s">
        <v>440</v>
      </c>
      <c r="B29" s="2" t="s">
        <v>30</v>
      </c>
      <c r="C29" s="4" t="s">
        <v>136</v>
      </c>
      <c r="D29" t="s">
        <v>125</v>
      </c>
      <c r="E29" t="s">
        <v>90</v>
      </c>
      <c r="F29" s="4" t="s">
        <v>399</v>
      </c>
      <c r="G29" s="4" t="s">
        <v>402</v>
      </c>
      <c r="H29">
        <v>2024</v>
      </c>
      <c r="I29">
        <v>26.45</v>
      </c>
      <c r="K29" t="s">
        <v>77</v>
      </c>
    </row>
    <row r="30" spans="1:11" x14ac:dyDescent="0.25">
      <c r="A30" t="s">
        <v>441</v>
      </c>
      <c r="B30" s="2" t="s">
        <v>31</v>
      </c>
      <c r="C30" s="4" t="s">
        <v>136</v>
      </c>
      <c r="D30" t="s">
        <v>125</v>
      </c>
      <c r="E30" t="s">
        <v>96</v>
      </c>
      <c r="F30" s="4" t="s">
        <v>399</v>
      </c>
      <c r="G30" s="4" t="s">
        <v>402</v>
      </c>
      <c r="H30">
        <v>2022</v>
      </c>
      <c r="I30">
        <v>37</v>
      </c>
      <c r="K30" t="s">
        <v>77</v>
      </c>
    </row>
    <row r="31" spans="1:11" x14ac:dyDescent="0.25">
      <c r="A31" t="s">
        <v>442</v>
      </c>
      <c r="B31" s="3" t="s">
        <v>32</v>
      </c>
      <c r="C31" s="4" t="s">
        <v>136</v>
      </c>
      <c r="D31" t="s">
        <v>125</v>
      </c>
      <c r="E31" t="s">
        <v>96</v>
      </c>
      <c r="F31" s="4" t="s">
        <v>399</v>
      </c>
      <c r="G31" s="4" t="s">
        <v>402</v>
      </c>
      <c r="H31">
        <v>2024</v>
      </c>
      <c r="I31">
        <v>13.35</v>
      </c>
      <c r="K31" t="s">
        <v>77</v>
      </c>
    </row>
    <row r="32" spans="1:11" x14ac:dyDescent="0.25">
      <c r="A32" t="s">
        <v>443</v>
      </c>
      <c r="B32" s="3" t="s">
        <v>33</v>
      </c>
      <c r="C32" s="4" t="s">
        <v>136</v>
      </c>
      <c r="D32" t="s">
        <v>125</v>
      </c>
      <c r="E32" t="s">
        <v>96</v>
      </c>
      <c r="F32" s="4" t="s">
        <v>399</v>
      </c>
      <c r="G32" s="4" t="s">
        <v>402</v>
      </c>
      <c r="H32">
        <v>2024</v>
      </c>
      <c r="I32">
        <v>18</v>
      </c>
      <c r="K32" t="s">
        <v>77</v>
      </c>
    </row>
    <row r="33" spans="1:11" x14ac:dyDescent="0.25">
      <c r="A33" t="s">
        <v>444</v>
      </c>
      <c r="B33" s="2" t="s">
        <v>34</v>
      </c>
      <c r="C33" s="4" t="s">
        <v>136</v>
      </c>
      <c r="D33" t="s">
        <v>125</v>
      </c>
      <c r="E33" t="s">
        <v>90</v>
      </c>
      <c r="F33" s="4" t="s">
        <v>399</v>
      </c>
      <c r="G33" s="4" t="s">
        <v>402</v>
      </c>
      <c r="H33">
        <v>2024</v>
      </c>
      <c r="I33">
        <v>8.9700000000000006</v>
      </c>
      <c r="K33" t="s">
        <v>77</v>
      </c>
    </row>
    <row r="34" spans="1:11" x14ac:dyDescent="0.25">
      <c r="A34" t="s">
        <v>445</v>
      </c>
      <c r="B34" s="2" t="s">
        <v>35</v>
      </c>
      <c r="C34" s="4" t="s">
        <v>136</v>
      </c>
      <c r="D34" t="s">
        <v>125</v>
      </c>
      <c r="E34" t="s">
        <v>97</v>
      </c>
      <c r="F34" s="4" t="s">
        <v>399</v>
      </c>
      <c r="G34" s="4" t="s">
        <v>402</v>
      </c>
      <c r="H34">
        <v>2024</v>
      </c>
      <c r="I34">
        <v>40.1</v>
      </c>
      <c r="K34" t="s">
        <v>77</v>
      </c>
    </row>
    <row r="35" spans="1:11" x14ac:dyDescent="0.25">
      <c r="A35" t="s">
        <v>446</v>
      </c>
      <c r="B35" s="2" t="s">
        <v>36</v>
      </c>
      <c r="C35" s="4" t="s">
        <v>136</v>
      </c>
      <c r="D35" t="s">
        <v>125</v>
      </c>
      <c r="E35" t="s">
        <v>98</v>
      </c>
      <c r="F35" s="4" t="s">
        <v>399</v>
      </c>
      <c r="G35" s="4" t="s">
        <v>402</v>
      </c>
      <c r="H35">
        <v>2022</v>
      </c>
      <c r="I35">
        <v>14.6</v>
      </c>
      <c r="K35" t="s">
        <v>77</v>
      </c>
    </row>
    <row r="36" spans="1:11" x14ac:dyDescent="0.25">
      <c r="A36" t="s">
        <v>447</v>
      </c>
      <c r="B36" s="2" t="s">
        <v>37</v>
      </c>
      <c r="C36" s="4" t="s">
        <v>136</v>
      </c>
      <c r="D36" t="s">
        <v>125</v>
      </c>
      <c r="E36" t="s">
        <v>99</v>
      </c>
      <c r="F36" s="4" t="s">
        <v>399</v>
      </c>
      <c r="G36" s="4" t="s">
        <v>402</v>
      </c>
      <c r="H36">
        <v>2024</v>
      </c>
      <c r="I36">
        <v>33</v>
      </c>
      <c r="K36" t="s">
        <v>77</v>
      </c>
    </row>
    <row r="37" spans="1:11" x14ac:dyDescent="0.25">
      <c r="A37" t="s">
        <v>448</v>
      </c>
      <c r="B37" s="2" t="s">
        <v>38</v>
      </c>
      <c r="C37" s="4" t="s">
        <v>136</v>
      </c>
      <c r="D37" t="s">
        <v>125</v>
      </c>
      <c r="E37" t="s">
        <v>99</v>
      </c>
      <c r="F37" s="4" t="s">
        <v>399</v>
      </c>
      <c r="G37" s="4" t="s">
        <v>402</v>
      </c>
      <c r="H37">
        <v>2024</v>
      </c>
      <c r="I37">
        <v>59</v>
      </c>
      <c r="K37" t="s">
        <v>77</v>
      </c>
    </row>
    <row r="38" spans="1:11" x14ac:dyDescent="0.25">
      <c r="A38" t="s">
        <v>449</v>
      </c>
      <c r="B38" s="2" t="s">
        <v>39</v>
      </c>
      <c r="C38" s="4" t="s">
        <v>136</v>
      </c>
      <c r="D38" t="s">
        <v>125</v>
      </c>
      <c r="E38" t="s">
        <v>100</v>
      </c>
      <c r="F38" s="4" t="s">
        <v>399</v>
      </c>
      <c r="G38" s="4" t="s">
        <v>402</v>
      </c>
      <c r="H38">
        <v>2022</v>
      </c>
      <c r="I38">
        <v>1.8</v>
      </c>
      <c r="K38" t="s">
        <v>77</v>
      </c>
    </row>
    <row r="39" spans="1:11" x14ac:dyDescent="0.25">
      <c r="A39" t="s">
        <v>450</v>
      </c>
      <c r="B39" s="2" t="s">
        <v>40</v>
      </c>
      <c r="C39" s="4" t="s">
        <v>136</v>
      </c>
      <c r="D39" t="s">
        <v>125</v>
      </c>
      <c r="E39" t="s">
        <v>100</v>
      </c>
      <c r="F39" s="4" t="s">
        <v>399</v>
      </c>
      <c r="G39" s="4" t="s">
        <v>402</v>
      </c>
      <c r="H39">
        <v>2022</v>
      </c>
      <c r="I39">
        <v>2.4</v>
      </c>
      <c r="K39" t="s">
        <v>77</v>
      </c>
    </row>
    <row r="40" spans="1:11" x14ac:dyDescent="0.25">
      <c r="A40" t="s">
        <v>451</v>
      </c>
      <c r="B40" s="2" t="s">
        <v>41</v>
      </c>
      <c r="C40" s="4" t="s">
        <v>136</v>
      </c>
      <c r="D40" t="s">
        <v>125</v>
      </c>
      <c r="E40" t="s">
        <v>101</v>
      </c>
      <c r="F40" s="4" t="s">
        <v>399</v>
      </c>
      <c r="G40" s="4" t="s">
        <v>402</v>
      </c>
      <c r="H40">
        <v>2022</v>
      </c>
      <c r="I40">
        <v>19.920000000000002</v>
      </c>
      <c r="K40" t="s">
        <v>77</v>
      </c>
    </row>
    <row r="41" spans="1:11" x14ac:dyDescent="0.25">
      <c r="A41" t="s">
        <v>452</v>
      </c>
      <c r="B41" s="2" t="s">
        <v>42</v>
      </c>
      <c r="C41" s="4" t="s">
        <v>136</v>
      </c>
      <c r="D41" t="s">
        <v>131</v>
      </c>
      <c r="E41" t="s">
        <v>102</v>
      </c>
      <c r="F41" s="4" t="s">
        <v>399</v>
      </c>
      <c r="G41" s="4" t="s">
        <v>402</v>
      </c>
      <c r="H41">
        <v>2024</v>
      </c>
      <c r="I41">
        <v>12.1</v>
      </c>
      <c r="K41" t="s">
        <v>77</v>
      </c>
    </row>
    <row r="42" spans="1:11" x14ac:dyDescent="0.25">
      <c r="A42" t="s">
        <v>453</v>
      </c>
      <c r="B42" s="2" t="s">
        <v>43</v>
      </c>
      <c r="C42" s="4" t="s">
        <v>136</v>
      </c>
      <c r="D42" t="s">
        <v>127</v>
      </c>
      <c r="E42" t="s">
        <v>103</v>
      </c>
      <c r="F42" s="4" t="s">
        <v>399</v>
      </c>
      <c r="G42" s="4" t="s">
        <v>402</v>
      </c>
      <c r="H42">
        <v>2022</v>
      </c>
      <c r="I42">
        <v>23</v>
      </c>
      <c r="K42" t="s">
        <v>77</v>
      </c>
    </row>
    <row r="43" spans="1:11" x14ac:dyDescent="0.25">
      <c r="A43" t="s">
        <v>454</v>
      </c>
      <c r="B43" s="2" t="s">
        <v>44</v>
      </c>
      <c r="C43" s="4" t="s">
        <v>136</v>
      </c>
      <c r="D43" t="s">
        <v>125</v>
      </c>
      <c r="E43" s="4" t="s">
        <v>104</v>
      </c>
      <c r="F43" s="4" t="s">
        <v>399</v>
      </c>
      <c r="G43" s="4" t="s">
        <v>402</v>
      </c>
      <c r="H43">
        <v>2022</v>
      </c>
      <c r="I43">
        <v>63</v>
      </c>
      <c r="K43" t="s">
        <v>77</v>
      </c>
    </row>
    <row r="44" spans="1:11" x14ac:dyDescent="0.25">
      <c r="A44" t="s">
        <v>455</v>
      </c>
      <c r="B44" s="2" t="s">
        <v>45</v>
      </c>
      <c r="C44" s="4" t="s">
        <v>136</v>
      </c>
      <c r="D44" t="s">
        <v>125</v>
      </c>
      <c r="E44" s="4" t="s">
        <v>104</v>
      </c>
      <c r="F44" s="4" t="s">
        <v>399</v>
      </c>
      <c r="G44" s="4" t="s">
        <v>402</v>
      </c>
      <c r="H44">
        <v>2022</v>
      </c>
      <c r="I44">
        <v>37</v>
      </c>
      <c r="K44" t="s">
        <v>77</v>
      </c>
    </row>
    <row r="45" spans="1:11" x14ac:dyDescent="0.25">
      <c r="A45" t="s">
        <v>456</v>
      </c>
      <c r="B45" s="2" t="s">
        <v>46</v>
      </c>
      <c r="C45" s="4" t="s">
        <v>136</v>
      </c>
      <c r="D45" t="s">
        <v>125</v>
      </c>
      <c r="E45" t="s">
        <v>78</v>
      </c>
      <c r="F45" s="4" t="s">
        <v>399</v>
      </c>
      <c r="G45" s="4" t="s">
        <v>402</v>
      </c>
      <c r="H45">
        <v>2021</v>
      </c>
      <c r="I45">
        <v>35.6</v>
      </c>
      <c r="K45" t="s">
        <v>77</v>
      </c>
    </row>
    <row r="46" spans="1:11" x14ac:dyDescent="0.25">
      <c r="A46" t="s">
        <v>457</v>
      </c>
      <c r="B46" s="2" t="s">
        <v>47</v>
      </c>
      <c r="C46" s="4" t="s">
        <v>136</v>
      </c>
      <c r="D46" t="s">
        <v>132</v>
      </c>
      <c r="E46" t="s">
        <v>105</v>
      </c>
      <c r="F46" s="4" t="s">
        <v>399</v>
      </c>
      <c r="G46" s="4" t="s">
        <v>402</v>
      </c>
      <c r="H46">
        <v>2021</v>
      </c>
      <c r="I46">
        <v>123</v>
      </c>
      <c r="K46" t="s">
        <v>77</v>
      </c>
    </row>
    <row r="47" spans="1:11" x14ac:dyDescent="0.25">
      <c r="A47" t="s">
        <v>458</v>
      </c>
      <c r="B47" s="2" t="s">
        <v>48</v>
      </c>
      <c r="C47" s="4" t="s">
        <v>136</v>
      </c>
      <c r="D47" t="s">
        <v>133</v>
      </c>
      <c r="E47" t="s">
        <v>106</v>
      </c>
      <c r="F47" s="4" t="s">
        <v>399</v>
      </c>
      <c r="G47" s="4" t="s">
        <v>402</v>
      </c>
      <c r="H47">
        <v>2015</v>
      </c>
      <c r="I47">
        <v>519.5</v>
      </c>
      <c r="K47" t="s">
        <v>77</v>
      </c>
    </row>
    <row r="48" spans="1:11" x14ac:dyDescent="0.25">
      <c r="A48" t="s">
        <v>459</v>
      </c>
      <c r="B48" s="2" t="s">
        <v>49</v>
      </c>
      <c r="C48" s="4" t="s">
        <v>136</v>
      </c>
      <c r="D48" t="s">
        <v>125</v>
      </c>
      <c r="E48" t="s">
        <v>107</v>
      </c>
      <c r="F48" s="4" t="s">
        <v>399</v>
      </c>
      <c r="G48" s="4" t="s">
        <v>402</v>
      </c>
      <c r="H48">
        <v>2024</v>
      </c>
      <c r="I48">
        <v>42.3</v>
      </c>
      <c r="K48" t="s">
        <v>77</v>
      </c>
    </row>
    <row r="49" spans="1:11" x14ac:dyDescent="0.25">
      <c r="A49" t="s">
        <v>460</v>
      </c>
      <c r="B49" s="2" t="s">
        <v>50</v>
      </c>
      <c r="C49" s="4" t="s">
        <v>136</v>
      </c>
      <c r="D49" t="s">
        <v>125</v>
      </c>
      <c r="E49" t="s">
        <v>107</v>
      </c>
      <c r="F49" s="4" t="s">
        <v>399</v>
      </c>
      <c r="G49" s="4" t="s">
        <v>402</v>
      </c>
      <c r="H49">
        <v>2024</v>
      </c>
      <c r="I49">
        <v>12.6</v>
      </c>
      <c r="K49" t="s">
        <v>77</v>
      </c>
    </row>
    <row r="50" spans="1:11" x14ac:dyDescent="0.25">
      <c r="A50" t="s">
        <v>461</v>
      </c>
      <c r="B50" s="2" t="s">
        <v>51</v>
      </c>
      <c r="C50" s="4" t="s">
        <v>136</v>
      </c>
      <c r="D50" t="s">
        <v>125</v>
      </c>
      <c r="E50" t="s">
        <v>107</v>
      </c>
      <c r="F50" s="4" t="s">
        <v>399</v>
      </c>
      <c r="G50" s="4" t="s">
        <v>402</v>
      </c>
      <c r="H50">
        <v>2024</v>
      </c>
      <c r="I50">
        <v>7.2</v>
      </c>
      <c r="K50" t="s">
        <v>77</v>
      </c>
    </row>
    <row r="51" spans="1:11" x14ac:dyDescent="0.25">
      <c r="A51" t="s">
        <v>462</v>
      </c>
      <c r="B51" s="2" t="s">
        <v>52</v>
      </c>
      <c r="C51" s="4" t="s">
        <v>136</v>
      </c>
      <c r="D51" t="s">
        <v>125</v>
      </c>
      <c r="E51" t="s">
        <v>107</v>
      </c>
      <c r="F51" s="4" t="s">
        <v>399</v>
      </c>
      <c r="G51" s="4" t="s">
        <v>402</v>
      </c>
      <c r="H51">
        <v>2024</v>
      </c>
      <c r="I51">
        <v>13.7</v>
      </c>
      <c r="K51" t="s">
        <v>77</v>
      </c>
    </row>
    <row r="52" spans="1:11" x14ac:dyDescent="0.25">
      <c r="A52" t="s">
        <v>463</v>
      </c>
      <c r="B52" s="2" t="s">
        <v>53</v>
      </c>
      <c r="C52" s="4" t="s">
        <v>136</v>
      </c>
      <c r="D52" t="s">
        <v>126</v>
      </c>
      <c r="E52" t="s">
        <v>108</v>
      </c>
      <c r="F52" s="4" t="s">
        <v>399</v>
      </c>
      <c r="G52" s="4" t="s">
        <v>402</v>
      </c>
      <c r="H52">
        <v>2019</v>
      </c>
      <c r="I52">
        <v>2.1</v>
      </c>
      <c r="K52" t="s">
        <v>77</v>
      </c>
    </row>
    <row r="53" spans="1:11" x14ac:dyDescent="0.25">
      <c r="A53" t="s">
        <v>464</v>
      </c>
      <c r="B53" s="2" t="s">
        <v>54</v>
      </c>
      <c r="C53" s="4" t="s">
        <v>136</v>
      </c>
      <c r="D53" t="s">
        <v>134</v>
      </c>
      <c r="E53" t="s">
        <v>109</v>
      </c>
      <c r="F53" s="4" t="s">
        <v>399</v>
      </c>
      <c r="G53" s="4" t="s">
        <v>402</v>
      </c>
      <c r="H53">
        <v>2024</v>
      </c>
      <c r="I53">
        <v>67</v>
      </c>
      <c r="K53" t="s">
        <v>77</v>
      </c>
    </row>
    <row r="54" spans="1:11" x14ac:dyDescent="0.25">
      <c r="A54" t="s">
        <v>465</v>
      </c>
      <c r="B54" s="2" t="s">
        <v>55</v>
      </c>
      <c r="C54" s="4" t="s">
        <v>136</v>
      </c>
      <c r="D54" t="s">
        <v>129</v>
      </c>
      <c r="E54" t="s">
        <v>110</v>
      </c>
      <c r="F54" s="4" t="s">
        <v>399</v>
      </c>
      <c r="G54" s="4" t="s">
        <v>402</v>
      </c>
      <c r="H54">
        <v>2024</v>
      </c>
      <c r="I54">
        <v>2.2999999999999998</v>
      </c>
      <c r="K54" t="s">
        <v>77</v>
      </c>
    </row>
    <row r="55" spans="1:11" x14ac:dyDescent="0.25">
      <c r="A55" t="s">
        <v>466</v>
      </c>
      <c r="B55" s="2" t="s">
        <v>56</v>
      </c>
      <c r="C55" s="4" t="s">
        <v>136</v>
      </c>
      <c r="D55" t="s">
        <v>125</v>
      </c>
      <c r="E55" t="s">
        <v>99</v>
      </c>
      <c r="F55" s="4" t="s">
        <v>399</v>
      </c>
      <c r="G55" s="4" t="s">
        <v>402</v>
      </c>
      <c r="H55">
        <v>2024</v>
      </c>
      <c r="I55">
        <v>20</v>
      </c>
      <c r="K55" t="s">
        <v>77</v>
      </c>
    </row>
    <row r="56" spans="1:11" x14ac:dyDescent="0.25">
      <c r="A56" t="s">
        <v>467</v>
      </c>
      <c r="B56" s="2" t="s">
        <v>59</v>
      </c>
      <c r="C56" s="4" t="s">
        <v>136</v>
      </c>
      <c r="D56" t="s">
        <v>125</v>
      </c>
      <c r="E56" t="s">
        <v>114</v>
      </c>
      <c r="F56" s="4" t="s">
        <v>399</v>
      </c>
      <c r="G56" s="4" t="s">
        <v>402</v>
      </c>
      <c r="H56">
        <v>2024</v>
      </c>
      <c r="I56">
        <v>56.59</v>
      </c>
      <c r="K56" t="s">
        <v>77</v>
      </c>
    </row>
    <row r="57" spans="1:11" x14ac:dyDescent="0.25">
      <c r="A57" t="s">
        <v>468</v>
      </c>
      <c r="B57" s="2" t="s">
        <v>60</v>
      </c>
      <c r="C57" s="4" t="s">
        <v>136</v>
      </c>
      <c r="D57" t="s">
        <v>125</v>
      </c>
      <c r="E57" t="s">
        <v>115</v>
      </c>
      <c r="F57" s="4" t="s">
        <v>399</v>
      </c>
      <c r="G57" s="4" t="s">
        <v>402</v>
      </c>
      <c r="H57">
        <v>2024</v>
      </c>
      <c r="I57">
        <v>47.42</v>
      </c>
      <c r="K57" t="s">
        <v>77</v>
      </c>
    </row>
    <row r="58" spans="1:11" x14ac:dyDescent="0.25">
      <c r="A58" t="s">
        <v>469</v>
      </c>
      <c r="B58" s="2" t="s">
        <v>61</v>
      </c>
      <c r="C58" s="4" t="s">
        <v>136</v>
      </c>
      <c r="D58" t="s">
        <v>125</v>
      </c>
      <c r="E58" t="s">
        <v>116</v>
      </c>
      <c r="F58" s="4" t="s">
        <v>399</v>
      </c>
      <c r="G58" s="4" t="s">
        <v>402</v>
      </c>
      <c r="H58">
        <v>2024</v>
      </c>
      <c r="I58">
        <v>22.48</v>
      </c>
      <c r="K58" t="s">
        <v>77</v>
      </c>
    </row>
    <row r="59" spans="1:11" x14ac:dyDescent="0.25">
      <c r="A59" t="s">
        <v>470</v>
      </c>
      <c r="B59" s="2" t="s">
        <v>62</v>
      </c>
      <c r="C59" s="4" t="s">
        <v>136</v>
      </c>
      <c r="D59" t="s">
        <v>125</v>
      </c>
      <c r="E59" t="s">
        <v>117</v>
      </c>
      <c r="F59" s="4" t="s">
        <v>399</v>
      </c>
      <c r="G59" s="4" t="s">
        <v>402</v>
      </c>
      <c r="H59">
        <v>2022</v>
      </c>
      <c r="I59">
        <v>12.2</v>
      </c>
      <c r="K59" t="s">
        <v>77</v>
      </c>
    </row>
    <row r="60" spans="1:11" x14ac:dyDescent="0.25">
      <c r="A60" t="s">
        <v>471</v>
      </c>
      <c r="B60" s="2" t="s">
        <v>63</v>
      </c>
      <c r="C60" s="4" t="s">
        <v>136</v>
      </c>
      <c r="D60" t="s">
        <v>125</v>
      </c>
      <c r="E60" t="s">
        <v>118</v>
      </c>
      <c r="F60" s="4" t="s">
        <v>399</v>
      </c>
      <c r="G60" s="4" t="s">
        <v>402</v>
      </c>
      <c r="H60">
        <v>2018</v>
      </c>
      <c r="I60">
        <v>30</v>
      </c>
      <c r="K60" t="s">
        <v>77</v>
      </c>
    </row>
    <row r="61" spans="1:11" x14ac:dyDescent="0.25">
      <c r="A61" t="s">
        <v>472</v>
      </c>
      <c r="B61" s="2" t="s">
        <v>64</v>
      </c>
      <c r="C61" s="4" t="s">
        <v>136</v>
      </c>
      <c r="D61" t="s">
        <v>125</v>
      </c>
      <c r="E61" t="s">
        <v>78</v>
      </c>
      <c r="F61" s="4" t="s">
        <v>399</v>
      </c>
      <c r="G61" s="4" t="s">
        <v>402</v>
      </c>
      <c r="H61">
        <v>2021</v>
      </c>
      <c r="I61">
        <v>52.6</v>
      </c>
      <c r="K61" t="s">
        <v>77</v>
      </c>
    </row>
    <row r="62" spans="1:11" x14ac:dyDescent="0.25">
      <c r="A62" t="s">
        <v>473</v>
      </c>
      <c r="B62" s="2" t="s">
        <v>65</v>
      </c>
      <c r="C62" s="4" t="s">
        <v>136</v>
      </c>
      <c r="D62" t="s">
        <v>125</v>
      </c>
      <c r="E62" t="s">
        <v>119</v>
      </c>
      <c r="F62" s="4" t="s">
        <v>399</v>
      </c>
      <c r="G62" s="4" t="s">
        <v>402</v>
      </c>
      <c r="H62">
        <v>2022</v>
      </c>
      <c r="I62">
        <v>19.5</v>
      </c>
      <c r="K62" t="s">
        <v>77</v>
      </c>
    </row>
    <row r="63" spans="1:11" x14ac:dyDescent="0.25">
      <c r="A63" t="s">
        <v>474</v>
      </c>
      <c r="B63" s="2" t="s">
        <v>66</v>
      </c>
      <c r="C63" s="4" t="s">
        <v>136</v>
      </c>
      <c r="D63" t="s">
        <v>125</v>
      </c>
      <c r="E63" t="s">
        <v>78</v>
      </c>
      <c r="F63" s="4" t="s">
        <v>399</v>
      </c>
      <c r="G63" s="4" t="s">
        <v>402</v>
      </c>
      <c r="H63">
        <v>2021</v>
      </c>
      <c r="I63">
        <v>10.1</v>
      </c>
      <c r="K63" t="s">
        <v>77</v>
      </c>
    </row>
    <row r="64" spans="1:11" x14ac:dyDescent="0.25">
      <c r="A64" t="s">
        <v>475</v>
      </c>
      <c r="B64" s="2" t="s">
        <v>67</v>
      </c>
      <c r="C64" s="4" t="s">
        <v>136</v>
      </c>
      <c r="D64" t="s">
        <v>125</v>
      </c>
      <c r="E64" t="s">
        <v>120</v>
      </c>
      <c r="F64" s="4" t="s">
        <v>399</v>
      </c>
      <c r="G64" s="4" t="s">
        <v>402</v>
      </c>
      <c r="H64">
        <v>2024</v>
      </c>
      <c r="I64">
        <v>74.2</v>
      </c>
      <c r="K64" t="s">
        <v>77</v>
      </c>
    </row>
    <row r="65" spans="1:11" x14ac:dyDescent="0.25">
      <c r="A65" t="s">
        <v>476</v>
      </c>
      <c r="B65" s="2" t="s">
        <v>68</v>
      </c>
      <c r="C65" s="4" t="s">
        <v>136</v>
      </c>
      <c r="D65" t="s">
        <v>125</v>
      </c>
      <c r="E65" t="s">
        <v>120</v>
      </c>
      <c r="F65" s="4" t="s">
        <v>399</v>
      </c>
      <c r="G65" s="4" t="s">
        <v>402</v>
      </c>
      <c r="H65">
        <v>2024</v>
      </c>
      <c r="I65">
        <v>49.69</v>
      </c>
      <c r="K65" t="s">
        <v>77</v>
      </c>
    </row>
    <row r="66" spans="1:11" x14ac:dyDescent="0.25">
      <c r="A66" t="s">
        <v>477</v>
      </c>
      <c r="B66" s="2" t="s">
        <v>69</v>
      </c>
      <c r="C66" s="4" t="s">
        <v>136</v>
      </c>
      <c r="D66" t="s">
        <v>125</v>
      </c>
      <c r="E66" t="s">
        <v>121</v>
      </c>
      <c r="F66" s="4" t="s">
        <v>399</v>
      </c>
      <c r="G66" s="4" t="s">
        <v>402</v>
      </c>
      <c r="H66">
        <v>2024</v>
      </c>
      <c r="I66">
        <v>4</v>
      </c>
      <c r="K66" t="s">
        <v>77</v>
      </c>
    </row>
    <row r="67" spans="1:11" x14ac:dyDescent="0.25">
      <c r="A67" t="s">
        <v>478</v>
      </c>
      <c r="B67" s="2" t="s">
        <v>70</v>
      </c>
      <c r="C67" s="4" t="s">
        <v>136</v>
      </c>
      <c r="D67" t="s">
        <v>125</v>
      </c>
      <c r="E67" t="s">
        <v>122</v>
      </c>
      <c r="F67" s="4" t="s">
        <v>399</v>
      </c>
      <c r="G67" s="4" t="s">
        <v>402</v>
      </c>
      <c r="H67">
        <v>2020</v>
      </c>
      <c r="I67">
        <v>0</v>
      </c>
      <c r="K67" t="s">
        <v>77</v>
      </c>
    </row>
    <row r="68" spans="1:11" x14ac:dyDescent="0.25">
      <c r="A68" t="s">
        <v>479</v>
      </c>
      <c r="B68" s="2" t="s">
        <v>71</v>
      </c>
      <c r="C68" s="4" t="s">
        <v>136</v>
      </c>
      <c r="D68" t="s">
        <v>125</v>
      </c>
      <c r="E68" t="s">
        <v>123</v>
      </c>
      <c r="F68" s="4" t="s">
        <v>399</v>
      </c>
      <c r="G68" s="4" t="s">
        <v>402</v>
      </c>
      <c r="H68">
        <v>2022</v>
      </c>
      <c r="I68">
        <v>43.9</v>
      </c>
      <c r="K68" t="s">
        <v>77</v>
      </c>
    </row>
    <row r="69" spans="1:11" x14ac:dyDescent="0.25">
      <c r="A69" t="s">
        <v>480</v>
      </c>
      <c r="B69" s="2" t="s">
        <v>72</v>
      </c>
      <c r="C69" s="4" t="s">
        <v>136</v>
      </c>
      <c r="D69" t="s">
        <v>125</v>
      </c>
      <c r="E69" t="s">
        <v>124</v>
      </c>
      <c r="F69" s="4" t="s">
        <v>399</v>
      </c>
      <c r="G69" s="4" t="s">
        <v>402</v>
      </c>
      <c r="H69">
        <v>2023</v>
      </c>
      <c r="I69">
        <v>11.05</v>
      </c>
      <c r="K69" t="s">
        <v>77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E7DF-4BE7-4239-8FF0-FEF9340A07D5}">
  <dimension ref="A1:K72"/>
  <sheetViews>
    <sheetView workbookViewId="0"/>
  </sheetViews>
  <sheetFormatPr baseColWidth="10" defaultColWidth="9.140625" defaultRowHeight="15" x14ac:dyDescent="0.25"/>
  <cols>
    <col min="1" max="1" width="18.140625" bestFit="1" customWidth="1"/>
    <col min="2" max="2" width="126" style="1" bestFit="1" customWidth="1"/>
    <col min="5" max="5" width="79.42578125" bestFit="1" customWidth="1"/>
    <col min="7" max="7" width="18.85546875" bestFit="1" customWidth="1"/>
  </cols>
  <sheetData>
    <row r="1" spans="1:11" x14ac:dyDescent="0.25">
      <c r="A1" t="s">
        <v>403</v>
      </c>
      <c r="B1" s="1" t="s">
        <v>404</v>
      </c>
      <c r="C1" t="s">
        <v>405</v>
      </c>
      <c r="D1" t="s">
        <v>406</v>
      </c>
      <c r="E1" t="s">
        <v>407</v>
      </c>
      <c r="F1" t="s">
        <v>408</v>
      </c>
      <c r="G1" t="s">
        <v>409</v>
      </c>
      <c r="H1" t="s">
        <v>410</v>
      </c>
      <c r="I1" t="s">
        <v>411</v>
      </c>
      <c r="K1" t="s">
        <v>412</v>
      </c>
    </row>
    <row r="2" spans="1:11" x14ac:dyDescent="0.25">
      <c r="A2" t="str">
        <f>_xlfn.CONCAT(VLOOKUP(B2,Indicateurs!$A:$B,2,0),"-",VLOOKUP(C2,Zones!$A:$B,2,0),"-",_xlfn.CONCAT(IF(K2&lt;&gt;"",VLOOKUP(K2,Desagregations!$A:$B,2,0),""),IF(L2&lt;&gt;"","_",""),IF(L2&lt;&gt;"",VLOOKUP(L2,Desagregations!$A:$B,2,0),""),IF(M2&lt;&gt;"","_",""),IF(M2&lt;&gt;"",VLOOKUP(M2,Desagregations!$A:$B,2,0),""),IF(N2&lt;&gt;"","_",""),IF(N2&lt;&gt;"",VLOOKUP(N2,Desagregations!$A:$B,2,0),""),IF(O2&lt;&gt;"","_",""),IF(O2&lt;&gt;"",VLOOKUP(O2,Desagregations!$A:$B,2,0),""),IF(P2&lt;&gt;"","_",""),IF(P2&lt;&gt;"",VLOOKUP(P2,Desagregations!$A:$B,2,0),"")),"-",VLOOKUP(D2,Unites!$A:$B,2,0),"-",VLOOKUP(E2,Sources!$A:$B,2,0),"-",VLOOKUP(F2,CommentaireValeurIndicateurs!$A:$B,2,0),"-",VLOOKUP(G2,NatureDonnees!$A:$B,2,0),"-",VLOOKUP(H2,Periodes!$A:$B,2,0))</f>
        <v>1246-1-6-4-4-3-3-22</v>
      </c>
      <c r="B2" s="2" t="s">
        <v>2</v>
      </c>
      <c r="C2" s="4" t="s">
        <v>136</v>
      </c>
      <c r="D2" t="s">
        <v>125</v>
      </c>
      <c r="E2" t="s">
        <v>78</v>
      </c>
      <c r="F2" s="4" t="s">
        <v>399</v>
      </c>
      <c r="G2" s="4" t="s">
        <v>402</v>
      </c>
      <c r="H2">
        <v>2021</v>
      </c>
      <c r="I2">
        <v>41.2</v>
      </c>
      <c r="K2" t="s">
        <v>77</v>
      </c>
    </row>
    <row r="3" spans="1:11" x14ac:dyDescent="0.25">
      <c r="A3" t="str">
        <f>_xlfn.CONCAT(VLOOKUP(B3,Indicateurs!$A:$B,2,0),"-",VLOOKUP(C3,Zones!$A:$B,2,0),"-",_xlfn.CONCAT(IF(K3&lt;&gt;"",VLOOKUP(K3,Desagregations!$A:$B,2,0),""),IF(L3&lt;&gt;"","_",""),IF(L3&lt;&gt;"",VLOOKUP(L3,Desagregations!$A:$B,2,0),""),IF(M3&lt;&gt;"","_",""),IF(M3&lt;&gt;"",VLOOKUP(M3,Desagregations!$A:$B,2,0),""),IF(N3&lt;&gt;"","_",""),IF(N3&lt;&gt;"",VLOOKUP(N3,Desagregations!$A:$B,2,0),""),IF(O3&lt;&gt;"","_",""),IF(O3&lt;&gt;"",VLOOKUP(O3,Desagregations!$A:$B,2,0),""),IF(P3&lt;&gt;"","_",""),IF(P3&lt;&gt;"",VLOOKUP(P3,Desagregations!$A:$B,2,0),"")),"-",VLOOKUP(D3,Unites!$A:$B,2,0),"-",VLOOKUP(E3,Sources!$A:$B,2,0),"-",VLOOKUP(F3,CommentaireValeurIndicateurs!$A:$B,2,0),"-",VLOOKUP(G3,NatureDonnees!$A:$B,2,0),"-",VLOOKUP(H3,Periodes!$A:$B,2,0))</f>
        <v>1247-1-6-4-4-3-3-22</v>
      </c>
      <c r="B3" s="2" t="s">
        <v>3</v>
      </c>
      <c r="C3" s="4" t="s">
        <v>136</v>
      </c>
      <c r="D3" t="s">
        <v>125</v>
      </c>
      <c r="E3" t="s">
        <v>78</v>
      </c>
      <c r="F3" s="4" t="s">
        <v>399</v>
      </c>
      <c r="G3" s="4" t="s">
        <v>402</v>
      </c>
      <c r="H3">
        <v>2021</v>
      </c>
      <c r="I3">
        <v>71.5</v>
      </c>
      <c r="K3" t="s">
        <v>77</v>
      </c>
    </row>
    <row r="4" spans="1:11" x14ac:dyDescent="0.25">
      <c r="A4" t="str">
        <f>_xlfn.CONCAT(VLOOKUP(B4,Indicateurs!$A:$B,2,0),"-",VLOOKUP(C4,Zones!$A:$B,2,0),"-",_xlfn.CONCAT(IF(K4&lt;&gt;"",VLOOKUP(K4,Desagregations!$A:$B,2,0),""),IF(L4&lt;&gt;"","_",""),IF(L4&lt;&gt;"",VLOOKUP(L4,Desagregations!$A:$B,2,0),""),IF(M4&lt;&gt;"","_",""),IF(M4&lt;&gt;"",VLOOKUP(M4,Desagregations!$A:$B,2,0),""),IF(N4&lt;&gt;"","_",""),IF(N4&lt;&gt;"",VLOOKUP(N4,Desagregations!$A:$B,2,0),""),IF(O4&lt;&gt;"","_",""),IF(O4&lt;&gt;"",VLOOKUP(O4,Desagregations!$A:$B,2,0),""),IF(P4&lt;&gt;"","_",""),IF(P4&lt;&gt;"",VLOOKUP(P4,Desagregations!$A:$B,2,0),"")),"-",VLOOKUP(D4,Unites!$A:$B,2,0),"-",VLOOKUP(E4,Sources!$A:$B,2,0),"-",VLOOKUP(F4,CommentaireValeurIndicateurs!$A:$B,2,0),"-",VLOOKUP(G4,NatureDonnees!$A:$B,2,0),"-",VLOOKUP(H4,Periodes!$A:$B,2,0))</f>
        <v>1248-1-6-5-5-3-3-24</v>
      </c>
      <c r="B4" s="2" t="s">
        <v>4</v>
      </c>
      <c r="C4" s="4" t="s">
        <v>136</v>
      </c>
      <c r="D4" t="s">
        <v>126</v>
      </c>
      <c r="E4" t="s">
        <v>79</v>
      </c>
      <c r="F4" s="4" t="s">
        <v>399</v>
      </c>
      <c r="G4" s="4" t="s">
        <v>402</v>
      </c>
      <c r="H4">
        <v>2023</v>
      </c>
      <c r="I4">
        <v>65.900000000000006</v>
      </c>
      <c r="K4" t="s">
        <v>77</v>
      </c>
    </row>
    <row r="5" spans="1:11" x14ac:dyDescent="0.25">
      <c r="A5" t="str">
        <f>_xlfn.CONCAT(VLOOKUP(B5,Indicateurs!$A:$B,2,0),"-",VLOOKUP(C5,Zones!$A:$B,2,0),"-",_xlfn.CONCAT(IF(K5&lt;&gt;"",VLOOKUP(K5,Desagregations!$A:$B,2,0),""),IF(L5&lt;&gt;"","_",""),IF(L5&lt;&gt;"",VLOOKUP(L5,Desagregations!$A:$B,2,0),""),IF(M5&lt;&gt;"","_",""),IF(M5&lt;&gt;"",VLOOKUP(M5,Desagregations!$A:$B,2,0),""),IF(N5&lt;&gt;"","_",""),IF(N5&lt;&gt;"",VLOOKUP(N5,Desagregations!$A:$B,2,0),""),IF(O5&lt;&gt;"","_",""),IF(O5&lt;&gt;"",VLOOKUP(O5,Desagregations!$A:$B,2,0),""),IF(P5&lt;&gt;"","_",""),IF(P5&lt;&gt;"",VLOOKUP(P5,Desagregations!$A:$B,2,0),"")),"-",VLOOKUP(D5,Unites!$A:$B,2,0),"-",VLOOKUP(E5,Sources!$A:$B,2,0),"-",VLOOKUP(F5,CommentaireValeurIndicateurs!$A:$B,2,0),"-",VLOOKUP(G5,NatureDonnees!$A:$B,2,0),"-",VLOOKUP(H5,Periodes!$A:$B,2,0))</f>
        <v>1249-1-6-4-4-3-3-22</v>
      </c>
      <c r="B5" s="2" t="s">
        <v>5</v>
      </c>
      <c r="C5" s="4" t="s">
        <v>136</v>
      </c>
      <c r="D5" t="s">
        <v>125</v>
      </c>
      <c r="E5" t="s">
        <v>78</v>
      </c>
      <c r="F5" s="4" t="s">
        <v>399</v>
      </c>
      <c r="G5" s="4" t="s">
        <v>402</v>
      </c>
      <c r="H5">
        <v>2021</v>
      </c>
      <c r="I5">
        <v>79.2</v>
      </c>
      <c r="K5" t="s">
        <v>77</v>
      </c>
    </row>
    <row r="6" spans="1:11" x14ac:dyDescent="0.25">
      <c r="A6" t="str">
        <f>_xlfn.CONCAT(VLOOKUP(B6,Indicateurs!$A:$B,2,0),"-",VLOOKUP(C6,Zones!$A:$B,2,0),"-",_xlfn.CONCAT(IF(K6&lt;&gt;"",VLOOKUP(K6,Desagregations!$A:$B,2,0),""),IF(L6&lt;&gt;"","_",""),IF(L6&lt;&gt;"",VLOOKUP(L6,Desagregations!$A:$B,2,0),""),IF(M6&lt;&gt;"","_",""),IF(M6&lt;&gt;"",VLOOKUP(M6,Desagregations!$A:$B,2,0),""),IF(N6&lt;&gt;"","_",""),IF(N6&lt;&gt;"",VLOOKUP(N6,Desagregations!$A:$B,2,0),""),IF(O6&lt;&gt;"","_",""),IF(O6&lt;&gt;"",VLOOKUP(O6,Desagregations!$A:$B,2,0),""),IF(P6&lt;&gt;"","_",""),IF(P6&lt;&gt;"",VLOOKUP(P6,Desagregations!$A:$B,2,0),"")),"-",VLOOKUP(D6,Unites!$A:$B,2,0),"-",VLOOKUP(E6,Sources!$A:$B,2,0),"-",VLOOKUP(F6,CommentaireValeurIndicateurs!$A:$B,2,0),"-",VLOOKUP(G6,NatureDonnees!$A:$B,2,0),"-",VLOOKUP(H6,Periodes!$A:$B,2,0))</f>
        <v>1250-1-6-4-6-3-3-25</v>
      </c>
      <c r="B6" s="2" t="s">
        <v>6</v>
      </c>
      <c r="C6" s="4" t="s">
        <v>136</v>
      </c>
      <c r="D6" t="s">
        <v>125</v>
      </c>
      <c r="E6" t="s">
        <v>80</v>
      </c>
      <c r="F6" s="4" t="s">
        <v>399</v>
      </c>
      <c r="G6" s="4" t="s">
        <v>402</v>
      </c>
      <c r="H6">
        <v>2024</v>
      </c>
      <c r="I6">
        <v>20.3</v>
      </c>
      <c r="K6" t="s">
        <v>77</v>
      </c>
    </row>
    <row r="7" spans="1:11" x14ac:dyDescent="0.25">
      <c r="A7" t="str">
        <f>_xlfn.CONCAT(VLOOKUP(B7,Indicateurs!$A:$B,2,0),"-",VLOOKUP(C7,Zones!$A:$B,2,0),"-",_xlfn.CONCAT(IF(K7&lt;&gt;"",VLOOKUP(K7,Desagregations!$A:$B,2,0),""),IF(L7&lt;&gt;"","_",""),IF(L7&lt;&gt;"",VLOOKUP(L7,Desagregations!$A:$B,2,0),""),IF(M7&lt;&gt;"","_",""),IF(M7&lt;&gt;"",VLOOKUP(M7,Desagregations!$A:$B,2,0),""),IF(N7&lt;&gt;"","_",""),IF(N7&lt;&gt;"",VLOOKUP(N7,Desagregations!$A:$B,2,0),""),IF(O7&lt;&gt;"","_",""),IF(O7&lt;&gt;"",VLOOKUP(O7,Desagregations!$A:$B,2,0),""),IF(P7&lt;&gt;"","_",""),IF(P7&lt;&gt;"",VLOOKUP(P7,Desagregations!$A:$B,2,0),"")),"-",VLOOKUP(D7,Unites!$A:$B,2,0),"-",VLOOKUP(E7,Sources!$A:$B,2,0),"-",VLOOKUP(F7,CommentaireValeurIndicateurs!$A:$B,2,0),"-",VLOOKUP(G7,NatureDonnees!$A:$B,2,0),"-",VLOOKUP(H7,Periodes!$A:$B,2,0))</f>
        <v>1251-1-6-4-7-3-3-23</v>
      </c>
      <c r="B7" s="2" t="s">
        <v>7</v>
      </c>
      <c r="C7" s="4" t="s">
        <v>136</v>
      </c>
      <c r="D7" t="s">
        <v>125</v>
      </c>
      <c r="E7" t="s">
        <v>81</v>
      </c>
      <c r="F7" s="4" t="s">
        <v>399</v>
      </c>
      <c r="G7" s="4" t="s">
        <v>402</v>
      </c>
      <c r="H7">
        <v>2022</v>
      </c>
      <c r="I7">
        <v>50.37</v>
      </c>
      <c r="K7" t="s">
        <v>77</v>
      </c>
    </row>
    <row r="8" spans="1:11" x14ac:dyDescent="0.25">
      <c r="A8" t="str">
        <f>_xlfn.CONCAT(VLOOKUP(B8,Indicateurs!$A:$B,2,0),"-",VLOOKUP(C8,Zones!$A:$B,2,0),"-",_xlfn.CONCAT(IF(K8&lt;&gt;"",VLOOKUP(K8,Desagregations!$A:$B,2,0),""),IF(L8&lt;&gt;"","_",""),IF(L8&lt;&gt;"",VLOOKUP(L8,Desagregations!$A:$B,2,0),""),IF(M8&lt;&gt;"","_",""),IF(M8&lt;&gt;"",VLOOKUP(M8,Desagregations!$A:$B,2,0),""),IF(N8&lt;&gt;"","_",""),IF(N8&lt;&gt;"",VLOOKUP(N8,Desagregations!$A:$B,2,0),""),IF(O8&lt;&gt;"","_",""),IF(O8&lt;&gt;"",VLOOKUP(O8,Desagregations!$A:$B,2,0),""),IF(P8&lt;&gt;"","_",""),IF(P8&lt;&gt;"",VLOOKUP(P8,Desagregations!$A:$B,2,0),"")),"-",VLOOKUP(D8,Unites!$A:$B,2,0),"-",VLOOKUP(E8,Sources!$A:$B,2,0),"-",VLOOKUP(F8,CommentaireValeurIndicateurs!$A:$B,2,0),"-",VLOOKUP(G8,NatureDonnees!$A:$B,2,0),"-",VLOOKUP(H8,Periodes!$A:$B,2,0))</f>
        <v>1252-1-6-4-8-3-3-24</v>
      </c>
      <c r="B8" s="2" t="s">
        <v>8</v>
      </c>
      <c r="C8" s="4" t="s">
        <v>136</v>
      </c>
      <c r="D8" t="s">
        <v>125</v>
      </c>
      <c r="E8" t="s">
        <v>82</v>
      </c>
      <c r="F8" s="4" t="s">
        <v>399</v>
      </c>
      <c r="G8" s="4" t="s">
        <v>402</v>
      </c>
      <c r="H8">
        <v>2023</v>
      </c>
      <c r="I8">
        <v>35.950000000000003</v>
      </c>
      <c r="K8" t="s">
        <v>77</v>
      </c>
    </row>
    <row r="9" spans="1:11" x14ac:dyDescent="0.25">
      <c r="A9" t="str">
        <f>_xlfn.CONCAT(VLOOKUP(B9,Indicateurs!$A:$B,2,0),"-",VLOOKUP(C9,Zones!$A:$B,2,0),"-",_xlfn.CONCAT(IF(K9&lt;&gt;"",VLOOKUP(K9,Desagregations!$A:$B,2,0),""),IF(L9&lt;&gt;"","_",""),IF(L9&lt;&gt;"",VLOOKUP(L9,Desagregations!$A:$B,2,0),""),IF(M9&lt;&gt;"","_",""),IF(M9&lt;&gt;"",VLOOKUP(M9,Desagregations!$A:$B,2,0),""),IF(N9&lt;&gt;"","_",""),IF(N9&lt;&gt;"",VLOOKUP(N9,Desagregations!$A:$B,2,0),""),IF(O9&lt;&gt;"","_",""),IF(O9&lt;&gt;"",VLOOKUP(O9,Desagregations!$A:$B,2,0),""),IF(P9&lt;&gt;"","_",""),IF(P9&lt;&gt;"",VLOOKUP(P9,Desagregations!$A:$B,2,0),"")),"-",VLOOKUP(D9,Unites!$A:$B,2,0),"-",VLOOKUP(E9,Sources!$A:$B,2,0),"-",VLOOKUP(F9,CommentaireValeurIndicateurs!$A:$B,2,0),"-",VLOOKUP(G9,NatureDonnees!$A:$B,2,0),"-",VLOOKUP(H9,Periodes!$A:$B,2,0))</f>
        <v>1253-1-6-4-8-3-3-24</v>
      </c>
      <c r="B9" s="2" t="s">
        <v>9</v>
      </c>
      <c r="C9" s="4" t="s">
        <v>136</v>
      </c>
      <c r="D9" t="s">
        <v>125</v>
      </c>
      <c r="E9" t="s">
        <v>82</v>
      </c>
      <c r="F9" s="4" t="s">
        <v>399</v>
      </c>
      <c r="G9" s="4" t="s">
        <v>402</v>
      </c>
      <c r="H9">
        <v>2023</v>
      </c>
      <c r="I9">
        <v>18.04</v>
      </c>
      <c r="K9" t="s">
        <v>77</v>
      </c>
    </row>
    <row r="10" spans="1:11" x14ac:dyDescent="0.25">
      <c r="A10" t="str">
        <f>_xlfn.CONCAT(VLOOKUP(B10,Indicateurs!$A:$B,2,0),"-",VLOOKUP(C10,Zones!$A:$B,2,0),"-",_xlfn.CONCAT(IF(K10&lt;&gt;"",VLOOKUP(K10,Desagregations!$A:$B,2,0),""),IF(L10&lt;&gt;"","_",""),IF(L10&lt;&gt;"",VLOOKUP(L10,Desagregations!$A:$B,2,0),""),IF(M10&lt;&gt;"","_",""),IF(M10&lt;&gt;"",VLOOKUP(M10,Desagregations!$A:$B,2,0),""),IF(N10&lt;&gt;"","_",""),IF(N10&lt;&gt;"",VLOOKUP(N10,Desagregations!$A:$B,2,0),""),IF(O10&lt;&gt;"","_",""),IF(O10&lt;&gt;"",VLOOKUP(O10,Desagregations!$A:$B,2,0),""),IF(P10&lt;&gt;"","_",""),IF(P10&lt;&gt;"",VLOOKUP(P10,Desagregations!$A:$B,2,0),"")),"-",VLOOKUP(D10,Unites!$A:$B,2,0),"-",VLOOKUP(E10,Sources!$A:$B,2,0),"-",VLOOKUP(F10,CommentaireValeurIndicateurs!$A:$B,2,0),"-",VLOOKUP(G10,NatureDonnees!$A:$B,2,0),"-",VLOOKUP(H10,Periodes!$A:$B,2,0))</f>
        <v>1254-1-6-4-4-3-3-22</v>
      </c>
      <c r="B10" s="2" t="s">
        <v>10</v>
      </c>
      <c r="C10" s="4" t="s">
        <v>136</v>
      </c>
      <c r="D10" t="s">
        <v>125</v>
      </c>
      <c r="E10" t="s">
        <v>78</v>
      </c>
      <c r="F10" s="4" t="s">
        <v>399</v>
      </c>
      <c r="G10" s="4" t="s">
        <v>402</v>
      </c>
      <c r="H10">
        <v>2021</v>
      </c>
      <c r="I10">
        <v>9.3000000000000007</v>
      </c>
      <c r="K10" t="s">
        <v>77</v>
      </c>
    </row>
    <row r="11" spans="1:11" x14ac:dyDescent="0.25">
      <c r="A11" t="str">
        <f>_xlfn.CONCAT(VLOOKUP(B11,Indicateurs!$A:$B,2,0),"-",VLOOKUP(C11,Zones!$A:$B,2,0),"-",_xlfn.CONCAT(IF(K11&lt;&gt;"",VLOOKUP(K11,Desagregations!$A:$B,2,0),""),IF(L11&lt;&gt;"","_",""),IF(L11&lt;&gt;"",VLOOKUP(L11,Desagregations!$A:$B,2,0),""),IF(M11&lt;&gt;"","_",""),IF(M11&lt;&gt;"",VLOOKUP(M11,Desagregations!$A:$B,2,0),""),IF(N11&lt;&gt;"","_",""),IF(N11&lt;&gt;"",VLOOKUP(N11,Desagregations!$A:$B,2,0),""),IF(O11&lt;&gt;"","_",""),IF(O11&lt;&gt;"",VLOOKUP(O11,Desagregations!$A:$B,2,0),""),IF(P11&lt;&gt;"","_",""),IF(P11&lt;&gt;"",VLOOKUP(P11,Desagregations!$A:$B,2,0),"")),"-",VLOOKUP(D11,Unites!$A:$B,2,0),"-",VLOOKUP(E11,Sources!$A:$B,2,0),"-",VLOOKUP(F11,CommentaireValeurIndicateurs!$A:$B,2,0),"-",VLOOKUP(G11,NatureDonnees!$A:$B,2,0),"-",VLOOKUP(H11,Periodes!$A:$B,2,0))</f>
        <v>1255-1-6-4-4-3-3-22</v>
      </c>
      <c r="B11" s="2" t="s">
        <v>11</v>
      </c>
      <c r="C11" s="4" t="s">
        <v>136</v>
      </c>
      <c r="D11" t="s">
        <v>125</v>
      </c>
      <c r="E11" t="s">
        <v>78</v>
      </c>
      <c r="F11" s="4" t="s">
        <v>399</v>
      </c>
      <c r="G11" s="4" t="s">
        <v>402</v>
      </c>
      <c r="H11">
        <v>2021</v>
      </c>
      <c r="I11">
        <v>60.4</v>
      </c>
      <c r="K11" t="s">
        <v>77</v>
      </c>
    </row>
    <row r="12" spans="1:11" x14ac:dyDescent="0.25">
      <c r="A12" t="str">
        <f>_xlfn.CONCAT(VLOOKUP(B12,Indicateurs!$A:$B,2,0),"-",VLOOKUP(C12,Zones!$A:$B,2,0),"-",_xlfn.CONCAT(IF(K12&lt;&gt;"",VLOOKUP(K12,Desagregations!$A:$B,2,0),""),IF(L12&lt;&gt;"","_",""),IF(L12&lt;&gt;"",VLOOKUP(L12,Desagregations!$A:$B,2,0),""),IF(M12&lt;&gt;"","_",""),IF(M12&lt;&gt;"",VLOOKUP(M12,Desagregations!$A:$B,2,0),""),IF(N12&lt;&gt;"","_",""),IF(N12&lt;&gt;"",VLOOKUP(N12,Desagregations!$A:$B,2,0),""),IF(O12&lt;&gt;"","_",""),IF(O12&lt;&gt;"",VLOOKUP(O12,Desagregations!$A:$B,2,0),""),IF(P12&lt;&gt;"","_",""),IF(P12&lt;&gt;"",VLOOKUP(P12,Desagregations!$A:$B,2,0),"")),"-",VLOOKUP(D12,Unites!$A:$B,2,0),"-",VLOOKUP(E12,Sources!$A:$B,2,0),"-",VLOOKUP(F12,CommentaireValeurIndicateurs!$A:$B,2,0),"-",VLOOKUP(G12,NatureDonnees!$A:$B,2,0),"-",VLOOKUP(H12,Periodes!$A:$B,2,0))</f>
        <v>1256-1-6-4-9-3-3-23</v>
      </c>
      <c r="B12" s="2" t="s">
        <v>12</v>
      </c>
      <c r="C12" s="4" t="s">
        <v>136</v>
      </c>
      <c r="D12" s="4" t="s">
        <v>125</v>
      </c>
      <c r="E12" t="s">
        <v>83</v>
      </c>
      <c r="F12" s="4" t="s">
        <v>399</v>
      </c>
      <c r="G12" s="4" t="s">
        <v>402</v>
      </c>
      <c r="H12">
        <v>2022</v>
      </c>
      <c r="I12">
        <v>74.400000000000006</v>
      </c>
      <c r="K12" t="s">
        <v>77</v>
      </c>
    </row>
    <row r="13" spans="1:11" x14ac:dyDescent="0.25">
      <c r="A13" t="str">
        <f>_xlfn.CONCAT(VLOOKUP(B13,Indicateurs!$A:$B,2,0),"-",VLOOKUP(C13,Zones!$A:$B,2,0),"-",_xlfn.CONCAT(IF(K13&lt;&gt;"",VLOOKUP(K13,Desagregations!$A:$B,2,0),""),IF(L13&lt;&gt;"","_",""),IF(L13&lt;&gt;"",VLOOKUP(L13,Desagregations!$A:$B,2,0),""),IF(M13&lt;&gt;"","_",""),IF(M13&lt;&gt;"",VLOOKUP(M13,Desagregations!$A:$B,2,0),""),IF(N13&lt;&gt;"","_",""),IF(N13&lt;&gt;"",VLOOKUP(N13,Desagregations!$A:$B,2,0),""),IF(O13&lt;&gt;"","_",""),IF(O13&lt;&gt;"",VLOOKUP(O13,Desagregations!$A:$B,2,0),""),IF(P13&lt;&gt;"","_",""),IF(P13&lt;&gt;"",VLOOKUP(P13,Desagregations!$A:$B,2,0),"")),"-",VLOOKUP(D13,Unites!$A:$B,2,0),"-",VLOOKUP(E13,Sources!$A:$B,2,0),"-",VLOOKUP(F13,CommentaireValeurIndicateurs!$A:$B,2,0),"-",VLOOKUP(G13,NatureDonnees!$A:$B,2,0),"-",VLOOKUP(H13,Periodes!$A:$B,2,0))</f>
        <v>1257-1-6-6-10-3-3-24</v>
      </c>
      <c r="B13" s="2" t="s">
        <v>13</v>
      </c>
      <c r="C13" s="4" t="s">
        <v>136</v>
      </c>
      <c r="D13" t="s">
        <v>127</v>
      </c>
      <c r="E13" t="s">
        <v>84</v>
      </c>
      <c r="F13" s="4" t="s">
        <v>399</v>
      </c>
      <c r="G13" s="4" t="s">
        <v>402</v>
      </c>
      <c r="H13">
        <v>2023</v>
      </c>
      <c r="I13">
        <v>19</v>
      </c>
      <c r="K13" t="s">
        <v>77</v>
      </c>
    </row>
    <row r="14" spans="1:11" x14ac:dyDescent="0.25">
      <c r="A14" t="str">
        <f>_xlfn.CONCAT(VLOOKUP(B14,Indicateurs!$A:$B,2,0),"-",VLOOKUP(C14,Zones!$A:$B,2,0),"-",_xlfn.CONCAT(IF(K14&lt;&gt;"",VLOOKUP(K14,Desagregations!$A:$B,2,0),""),IF(L14&lt;&gt;"","_",""),IF(L14&lt;&gt;"",VLOOKUP(L14,Desagregations!$A:$B,2,0),""),IF(M14&lt;&gt;"","_",""),IF(M14&lt;&gt;"",VLOOKUP(M14,Desagregations!$A:$B,2,0),""),IF(N14&lt;&gt;"","_",""),IF(N14&lt;&gt;"",VLOOKUP(N14,Desagregations!$A:$B,2,0),""),IF(O14&lt;&gt;"","_",""),IF(O14&lt;&gt;"",VLOOKUP(O14,Desagregations!$A:$B,2,0),""),IF(P14&lt;&gt;"","_",""),IF(P14&lt;&gt;"",VLOOKUP(P14,Desagregations!$A:$B,2,0),"")),"-",VLOOKUP(D14,Unites!$A:$B,2,0),"-",VLOOKUP(E14,Sources!$A:$B,2,0),"-",VLOOKUP(F14,CommentaireValeurIndicateurs!$A:$B,2,0),"-",VLOOKUP(G14,NatureDonnees!$A:$B,2,0),"-",VLOOKUP(H14,Periodes!$A:$B,2,0))</f>
        <v>1258-1-6-4-10-3-3-25</v>
      </c>
      <c r="B14" s="2" t="s">
        <v>14</v>
      </c>
      <c r="C14" s="4" t="s">
        <v>136</v>
      </c>
      <c r="D14" t="s">
        <v>125</v>
      </c>
      <c r="E14" t="s">
        <v>84</v>
      </c>
      <c r="F14" s="4" t="s">
        <v>399</v>
      </c>
      <c r="G14" s="4" t="s">
        <v>402</v>
      </c>
      <c r="H14">
        <v>2024</v>
      </c>
      <c r="I14">
        <v>70.150000000000006</v>
      </c>
      <c r="K14" t="s">
        <v>77</v>
      </c>
    </row>
    <row r="15" spans="1:11" x14ac:dyDescent="0.25">
      <c r="A15" t="str">
        <f>_xlfn.CONCAT(VLOOKUP(B15,Indicateurs!$A:$B,2,0),"-",VLOOKUP(C15,Zones!$A:$B,2,0),"-",_xlfn.CONCAT(IF(K15&lt;&gt;"",VLOOKUP(K15,Desagregations!$A:$B,2,0),""),IF(L15&lt;&gt;"","_",""),IF(L15&lt;&gt;"",VLOOKUP(L15,Desagregations!$A:$B,2,0),""),IF(M15&lt;&gt;"","_",""),IF(M15&lt;&gt;"",VLOOKUP(M15,Desagregations!$A:$B,2,0),""),IF(N15&lt;&gt;"","_",""),IF(N15&lt;&gt;"",VLOOKUP(N15,Desagregations!$A:$B,2,0),""),IF(O15&lt;&gt;"","_",""),IF(O15&lt;&gt;"",VLOOKUP(O15,Desagregations!$A:$B,2,0),""),IF(P15&lt;&gt;"","_",""),IF(P15&lt;&gt;"",VLOOKUP(P15,Desagregations!$A:$B,2,0),"")),"-",VLOOKUP(D15,Unites!$A:$B,2,0),"-",VLOOKUP(E15,Sources!$A:$B,2,0),"-",VLOOKUP(F15,CommentaireValeurIndicateurs!$A:$B,2,0),"-",VLOOKUP(G15,NatureDonnees!$A:$B,2,0),"-",VLOOKUP(H15,Periodes!$A:$B,2,0))</f>
        <v>1259-1-6-4-4-3-3-22</v>
      </c>
      <c r="B15" s="2" t="s">
        <v>15</v>
      </c>
      <c r="C15" s="4" t="s">
        <v>136</v>
      </c>
      <c r="D15" t="s">
        <v>125</v>
      </c>
      <c r="E15" t="s">
        <v>78</v>
      </c>
      <c r="F15" s="4" t="s">
        <v>399</v>
      </c>
      <c r="G15" s="4" t="s">
        <v>402</v>
      </c>
      <c r="H15">
        <v>2021</v>
      </c>
      <c r="I15">
        <v>40.1</v>
      </c>
      <c r="K15" t="s">
        <v>77</v>
      </c>
    </row>
    <row r="16" spans="1:11" x14ac:dyDescent="0.25">
      <c r="A16" t="str">
        <f>_xlfn.CONCAT(VLOOKUP(B16,Indicateurs!$A:$B,2,0),"-",VLOOKUP(C16,Zones!$A:$B,2,0),"-",_xlfn.CONCAT(IF(K16&lt;&gt;"",VLOOKUP(K16,Desagregations!$A:$B,2,0),""),IF(L16&lt;&gt;"","_",""),IF(L16&lt;&gt;"",VLOOKUP(L16,Desagregations!$A:$B,2,0),""),IF(M16&lt;&gt;"","_",""),IF(M16&lt;&gt;"",VLOOKUP(M16,Desagregations!$A:$B,2,0),""),IF(N16&lt;&gt;"","_",""),IF(N16&lt;&gt;"",VLOOKUP(N16,Desagregations!$A:$B,2,0),""),IF(O16&lt;&gt;"","_",""),IF(O16&lt;&gt;"",VLOOKUP(O16,Desagregations!$A:$B,2,0),""),IF(P16&lt;&gt;"","_",""),IF(P16&lt;&gt;"",VLOOKUP(P16,Desagregations!$A:$B,2,0),"")),"-",VLOOKUP(D16,Unites!$A:$B,2,0),"-",VLOOKUP(E16,Sources!$A:$B,2,0),"-",VLOOKUP(F16,CommentaireValeurIndicateurs!$A:$B,2,0),"-",VLOOKUP(G16,NatureDonnees!$A:$B,2,0),"-",VLOOKUP(H16,Periodes!$A:$B,2,0))</f>
        <v>1260-1-6-7-11-3-3-25</v>
      </c>
      <c r="B16" s="2" t="s">
        <v>16</v>
      </c>
      <c r="C16" s="4" t="s">
        <v>136</v>
      </c>
      <c r="D16" t="s">
        <v>128</v>
      </c>
      <c r="E16" t="s">
        <v>85</v>
      </c>
      <c r="F16" s="4" t="s">
        <v>399</v>
      </c>
      <c r="G16" s="4" t="s">
        <v>402</v>
      </c>
      <c r="H16">
        <v>2024</v>
      </c>
      <c r="I16">
        <v>2</v>
      </c>
      <c r="K16" t="s">
        <v>77</v>
      </c>
    </row>
    <row r="17" spans="1:11" x14ac:dyDescent="0.25">
      <c r="A17" t="str">
        <f>_xlfn.CONCAT(VLOOKUP(B17,Indicateurs!$A:$B,2,0),"-",VLOOKUP(C17,Zones!$A:$B,2,0),"-",_xlfn.CONCAT(IF(K17&lt;&gt;"",VLOOKUP(K17,Desagregations!$A:$B,2,0),""),IF(L17&lt;&gt;"","_",""),IF(L17&lt;&gt;"",VLOOKUP(L17,Desagregations!$A:$B,2,0),""),IF(M17&lt;&gt;"","_",""),IF(M17&lt;&gt;"",VLOOKUP(M17,Desagregations!$A:$B,2,0),""),IF(N17&lt;&gt;"","_",""),IF(N17&lt;&gt;"",VLOOKUP(N17,Desagregations!$A:$B,2,0),""),IF(O17&lt;&gt;"","_",""),IF(O17&lt;&gt;"",VLOOKUP(O17,Desagregations!$A:$B,2,0),""),IF(P17&lt;&gt;"","_",""),IF(P17&lt;&gt;"",VLOOKUP(P17,Desagregations!$A:$B,2,0),"")),"-",VLOOKUP(D17,Unites!$A:$B,2,0),"-",VLOOKUP(E17,Sources!$A:$B,2,0),"-",VLOOKUP(F17,CommentaireValeurIndicateurs!$A:$B,2,0),"-",VLOOKUP(G17,NatureDonnees!$A:$B,2,0),"-",VLOOKUP(H17,Periodes!$A:$B,2,0))</f>
        <v>1261-1-6-4-12-3-3-22</v>
      </c>
      <c r="B17" s="2" t="s">
        <v>17</v>
      </c>
      <c r="C17" s="4" t="s">
        <v>136</v>
      </c>
      <c r="D17" t="s">
        <v>125</v>
      </c>
      <c r="E17" t="s">
        <v>86</v>
      </c>
      <c r="F17" s="4" t="s">
        <v>399</v>
      </c>
      <c r="G17" s="4" t="s">
        <v>402</v>
      </c>
      <c r="H17">
        <v>2021</v>
      </c>
      <c r="I17">
        <v>37.65</v>
      </c>
      <c r="K17" t="s">
        <v>77</v>
      </c>
    </row>
    <row r="18" spans="1:11" x14ac:dyDescent="0.25">
      <c r="A18" t="str">
        <f>_xlfn.CONCAT(VLOOKUP(B18,Indicateurs!$A:$B,2,0),"-",VLOOKUP(C18,Zones!$A:$B,2,0),"-",_xlfn.CONCAT(IF(K18&lt;&gt;"",VLOOKUP(K18,Desagregations!$A:$B,2,0),""),IF(L18&lt;&gt;"","_",""),IF(L18&lt;&gt;"",VLOOKUP(L18,Desagregations!$A:$B,2,0),""),IF(M18&lt;&gt;"","_",""),IF(M18&lt;&gt;"",VLOOKUP(M18,Desagregations!$A:$B,2,0),""),IF(N18&lt;&gt;"","_",""),IF(N18&lt;&gt;"",VLOOKUP(N18,Desagregations!$A:$B,2,0),""),IF(O18&lt;&gt;"","_",""),IF(O18&lt;&gt;"",VLOOKUP(O18,Desagregations!$A:$B,2,0),""),IF(P18&lt;&gt;"","_",""),IF(P18&lt;&gt;"",VLOOKUP(P18,Desagregations!$A:$B,2,0),"")),"-",VLOOKUP(D18,Unites!$A:$B,2,0),"-",VLOOKUP(E18,Sources!$A:$B,2,0),"-",VLOOKUP(F18,CommentaireValeurIndicateurs!$A:$B,2,0),"-",VLOOKUP(G18,NatureDonnees!$A:$B,2,0),"-",VLOOKUP(H18,Periodes!$A:$B,2,0))</f>
        <v>1262-1-6-4-13-3-3-25</v>
      </c>
      <c r="B18" s="3" t="s">
        <v>18</v>
      </c>
      <c r="C18" s="4" t="s">
        <v>136</v>
      </c>
      <c r="D18" t="s">
        <v>125</v>
      </c>
      <c r="E18" t="s">
        <v>87</v>
      </c>
      <c r="F18" s="4" t="s">
        <v>399</v>
      </c>
      <c r="G18" s="4" t="s">
        <v>402</v>
      </c>
      <c r="H18">
        <v>2024</v>
      </c>
      <c r="I18">
        <v>70</v>
      </c>
      <c r="K18" t="s">
        <v>77</v>
      </c>
    </row>
    <row r="19" spans="1:11" x14ac:dyDescent="0.25">
      <c r="A19" t="str">
        <f>_xlfn.CONCAT(VLOOKUP(B19,Indicateurs!$A:$B,2,0),"-",VLOOKUP(C19,Zones!$A:$B,2,0),"-",_xlfn.CONCAT(IF(K19&lt;&gt;"",VLOOKUP(K19,Desagregations!$A:$B,2,0),""),IF(L19&lt;&gt;"","_",""),IF(L19&lt;&gt;"",VLOOKUP(L19,Desagregations!$A:$B,2,0),""),IF(M19&lt;&gt;"","_",""),IF(M19&lt;&gt;"",VLOOKUP(M19,Desagregations!$A:$B,2,0),""),IF(N19&lt;&gt;"","_",""),IF(N19&lt;&gt;"",VLOOKUP(N19,Desagregations!$A:$B,2,0),""),IF(O19&lt;&gt;"","_",""),IF(O19&lt;&gt;"",VLOOKUP(O19,Desagregations!$A:$B,2,0),""),IF(P19&lt;&gt;"","_",""),IF(P19&lt;&gt;"",VLOOKUP(P19,Desagregations!$A:$B,2,0),"")),"-",VLOOKUP(D19,Unites!$A:$B,2,0),"-",VLOOKUP(E19,Sources!$A:$B,2,0),"-",VLOOKUP(F19,CommentaireValeurIndicateurs!$A:$B,2,0),"-",VLOOKUP(G19,NatureDonnees!$A:$B,2,0),"-",VLOOKUP(H19,Periodes!$A:$B,2,0))</f>
        <v>1263-1-6-4-10-3-3-25</v>
      </c>
      <c r="B19" s="2" t="s">
        <v>19</v>
      </c>
      <c r="C19" s="4" t="s">
        <v>136</v>
      </c>
      <c r="D19" t="s">
        <v>125</v>
      </c>
      <c r="E19" t="s">
        <v>84</v>
      </c>
      <c r="F19" s="4" t="s">
        <v>399</v>
      </c>
      <c r="G19" s="4" t="s">
        <v>402</v>
      </c>
      <c r="H19">
        <v>2024</v>
      </c>
      <c r="I19">
        <v>50</v>
      </c>
      <c r="K19" t="s">
        <v>77</v>
      </c>
    </row>
    <row r="20" spans="1:11" x14ac:dyDescent="0.25">
      <c r="A20" t="str">
        <f>_xlfn.CONCAT(VLOOKUP(B20,Indicateurs!$A:$B,2,0),"-",VLOOKUP(C20,Zones!$A:$B,2,0),"-",_xlfn.CONCAT(IF(K20&lt;&gt;"",VLOOKUP(K20,Desagregations!$A:$B,2,0),""),IF(L20&lt;&gt;"","_",""),IF(L20&lt;&gt;"",VLOOKUP(L20,Desagregations!$A:$B,2,0),""),IF(M20&lt;&gt;"","_",""),IF(M20&lt;&gt;"",VLOOKUP(M20,Desagregations!$A:$B,2,0),""),IF(N20&lt;&gt;"","_",""),IF(N20&lt;&gt;"",VLOOKUP(N20,Desagregations!$A:$B,2,0),""),IF(O20&lt;&gt;"","_",""),IF(O20&lt;&gt;"",VLOOKUP(O20,Desagregations!$A:$B,2,0),""),IF(P20&lt;&gt;"","_",""),IF(P20&lt;&gt;"",VLOOKUP(P20,Desagregations!$A:$B,2,0),"")),"-",VLOOKUP(D20,Unites!$A:$B,2,0),"-",VLOOKUP(E20,Sources!$A:$B,2,0),"-",VLOOKUP(F20,CommentaireValeurIndicateurs!$A:$B,2,0),"-",VLOOKUP(G20,NatureDonnees!$A:$B,2,0),"-",VLOOKUP(H20,Periodes!$A:$B,2,0))</f>
        <v>1264-1-6-4-10-3-3-25</v>
      </c>
      <c r="B20" s="2" t="s">
        <v>20</v>
      </c>
      <c r="C20" s="4" t="s">
        <v>136</v>
      </c>
      <c r="D20" t="s">
        <v>125</v>
      </c>
      <c r="E20" t="s">
        <v>84</v>
      </c>
      <c r="F20" s="4" t="s">
        <v>399</v>
      </c>
      <c r="G20" s="4" t="s">
        <v>402</v>
      </c>
      <c r="H20">
        <v>2024</v>
      </c>
      <c r="I20">
        <v>30.1</v>
      </c>
      <c r="K20" t="s">
        <v>77</v>
      </c>
    </row>
    <row r="21" spans="1:11" x14ac:dyDescent="0.25">
      <c r="A21" t="str">
        <f>_xlfn.CONCAT(VLOOKUP(B21,Indicateurs!$A:$B,2,0),"-",VLOOKUP(C21,Zones!$A:$B,2,0),"-",_xlfn.CONCAT(IF(K21&lt;&gt;"",VLOOKUP(K21,Desagregations!$A:$B,2,0),""),IF(L21&lt;&gt;"","_",""),IF(L21&lt;&gt;"",VLOOKUP(L21,Desagregations!$A:$B,2,0),""),IF(M21&lt;&gt;"","_",""),IF(M21&lt;&gt;"",VLOOKUP(M21,Desagregations!$A:$B,2,0),""),IF(N21&lt;&gt;"","_",""),IF(N21&lt;&gt;"",VLOOKUP(N21,Desagregations!$A:$B,2,0),""),IF(O21&lt;&gt;"","_",""),IF(O21&lt;&gt;"",VLOOKUP(O21,Desagregations!$A:$B,2,0),""),IF(P21&lt;&gt;"","_",""),IF(P21&lt;&gt;"",VLOOKUP(P21,Desagregations!$A:$B,2,0),"")),"-",VLOOKUP(D21,Unites!$A:$B,2,0),"-",VLOOKUP(E21,Sources!$A:$B,2,0),"-",VLOOKUP(F21,CommentaireValeurIndicateurs!$A:$B,2,0),"-",VLOOKUP(G21,NatureDonnees!$A:$B,2,0),"-",VLOOKUP(H21,Periodes!$A:$B,2,0))</f>
        <v>1265-1-6-4-14-3-3-19</v>
      </c>
      <c r="B21" s="2" t="s">
        <v>21</v>
      </c>
      <c r="C21" s="4" t="s">
        <v>136</v>
      </c>
      <c r="D21" t="s">
        <v>125</v>
      </c>
      <c r="E21" t="s">
        <v>88</v>
      </c>
      <c r="F21" s="4" t="s">
        <v>399</v>
      </c>
      <c r="G21" s="4" t="s">
        <v>402</v>
      </c>
      <c r="H21">
        <v>2018</v>
      </c>
      <c r="I21">
        <v>40</v>
      </c>
      <c r="K21" t="s">
        <v>77</v>
      </c>
    </row>
    <row r="22" spans="1:11" x14ac:dyDescent="0.25">
      <c r="A22" t="str">
        <f>_xlfn.CONCAT(VLOOKUP(B22,Indicateurs!$A:$B,2,0),"-",VLOOKUP(C22,Zones!$A:$B,2,0),"-",_xlfn.CONCAT(IF(K22&lt;&gt;"",VLOOKUP(K22,Desagregations!$A:$B,2,0),""),IF(L22&lt;&gt;"","_",""),IF(L22&lt;&gt;"",VLOOKUP(L22,Desagregations!$A:$B,2,0),""),IF(M22&lt;&gt;"","_",""),IF(M22&lt;&gt;"",VLOOKUP(M22,Desagregations!$A:$B,2,0),""),IF(N22&lt;&gt;"","_",""),IF(N22&lt;&gt;"",VLOOKUP(N22,Desagregations!$A:$B,2,0),""),IF(O22&lt;&gt;"","_",""),IF(O22&lt;&gt;"",VLOOKUP(O22,Desagregations!$A:$B,2,0),""),IF(P22&lt;&gt;"","_",""),IF(P22&lt;&gt;"",VLOOKUP(P22,Desagregations!$A:$B,2,0),"")),"-",VLOOKUP(D22,Unites!$A:$B,2,0),"-",VLOOKUP(E22,Sources!$A:$B,2,0),"-",VLOOKUP(F22,CommentaireValeurIndicateurs!$A:$B,2,0),"-",VLOOKUP(G22,NatureDonnees!$A:$B,2,0),"-",VLOOKUP(H22,Periodes!$A:$B,2,0))</f>
        <v>1266-1-6-8-15-3-3-24</v>
      </c>
      <c r="B22" s="3" t="s">
        <v>22</v>
      </c>
      <c r="C22" s="4" t="s">
        <v>136</v>
      </c>
      <c r="D22" t="s">
        <v>129</v>
      </c>
      <c r="E22" t="s">
        <v>89</v>
      </c>
      <c r="F22" s="4" t="s">
        <v>399</v>
      </c>
      <c r="G22" s="4" t="s">
        <v>402</v>
      </c>
      <c r="H22">
        <v>2023</v>
      </c>
      <c r="I22">
        <v>85</v>
      </c>
      <c r="K22" t="s">
        <v>77</v>
      </c>
    </row>
    <row r="23" spans="1:11" x14ac:dyDescent="0.25">
      <c r="A23" t="str">
        <f>_xlfn.CONCAT(VLOOKUP(B23,Indicateurs!$A:$B,2,0),"-",VLOOKUP(C23,Zones!$A:$B,2,0),"-",_xlfn.CONCAT(IF(K23&lt;&gt;"",VLOOKUP(K23,Desagregations!$A:$B,2,0),""),IF(L23&lt;&gt;"","_",""),IF(L23&lt;&gt;"",VLOOKUP(L23,Desagregations!$A:$B,2,0),""),IF(M23&lt;&gt;"","_",""),IF(M23&lt;&gt;"",VLOOKUP(M23,Desagregations!$A:$B,2,0),""),IF(N23&lt;&gt;"","_",""),IF(N23&lt;&gt;"",VLOOKUP(N23,Desagregations!$A:$B,2,0),""),IF(O23&lt;&gt;"","_",""),IF(O23&lt;&gt;"",VLOOKUP(O23,Desagregations!$A:$B,2,0),""),IF(P23&lt;&gt;"","_",""),IF(P23&lt;&gt;"",VLOOKUP(P23,Desagregations!$A:$B,2,0),"")),"-",VLOOKUP(D23,Unites!$A:$B,2,0),"-",VLOOKUP(E23,Sources!$A:$B,2,0),"-",VLOOKUP(F23,CommentaireValeurIndicateurs!$A:$B,2,0),"-",VLOOKUP(G23,NatureDonnees!$A:$B,2,0),"-",VLOOKUP(H23,Periodes!$A:$B,2,0))</f>
        <v>1267-1-6-4-16-3-3-25</v>
      </c>
      <c r="B23" s="2" t="s">
        <v>23</v>
      </c>
      <c r="C23" s="4" t="s">
        <v>136</v>
      </c>
      <c r="D23" t="s">
        <v>125</v>
      </c>
      <c r="E23" t="s">
        <v>90</v>
      </c>
      <c r="F23" s="4" t="s">
        <v>399</v>
      </c>
      <c r="G23" s="4" t="s">
        <v>402</v>
      </c>
      <c r="H23">
        <v>2024</v>
      </c>
      <c r="I23">
        <v>8.5</v>
      </c>
      <c r="K23" t="s">
        <v>77</v>
      </c>
    </row>
    <row r="24" spans="1:11" x14ac:dyDescent="0.25">
      <c r="A24" t="str">
        <f>_xlfn.CONCAT(VLOOKUP(B24,Indicateurs!$A:$B,2,0),"-",VLOOKUP(C24,Zones!$A:$B,2,0),"-",_xlfn.CONCAT(IF(K24&lt;&gt;"",VLOOKUP(K24,Desagregations!$A:$B,2,0),""),IF(L24&lt;&gt;"","_",""),IF(L24&lt;&gt;"",VLOOKUP(L24,Desagregations!$A:$B,2,0),""),IF(M24&lt;&gt;"","_",""),IF(M24&lt;&gt;"",VLOOKUP(M24,Desagregations!$A:$B,2,0),""),IF(N24&lt;&gt;"","_",""),IF(N24&lt;&gt;"",VLOOKUP(N24,Desagregations!$A:$B,2,0),""),IF(O24&lt;&gt;"","_",""),IF(O24&lt;&gt;"",VLOOKUP(O24,Desagregations!$A:$B,2,0),""),IF(P24&lt;&gt;"","_",""),IF(P24&lt;&gt;"",VLOOKUP(P24,Desagregations!$A:$B,2,0),"")),"-",VLOOKUP(D24,Unites!$A:$B,2,0),"-",VLOOKUP(E24,Sources!$A:$B,2,0),"-",VLOOKUP(F24,CommentaireValeurIndicateurs!$A:$B,2,0),"-",VLOOKUP(G24,NatureDonnees!$A:$B,2,0),"-",VLOOKUP(H24,Periodes!$A:$B,2,0))</f>
        <v>1268-1-6-9-4-3-3-22</v>
      </c>
      <c r="B24" s="2" t="s">
        <v>24</v>
      </c>
      <c r="C24" s="4" t="s">
        <v>136</v>
      </c>
      <c r="D24" t="s">
        <v>130</v>
      </c>
      <c r="E24" t="s">
        <v>78</v>
      </c>
      <c r="F24" s="4" t="s">
        <v>399</v>
      </c>
      <c r="G24" s="4" t="s">
        <v>402</v>
      </c>
      <c r="H24">
        <v>2021</v>
      </c>
      <c r="I24">
        <v>0.33</v>
      </c>
      <c r="K24" t="s">
        <v>77</v>
      </c>
    </row>
    <row r="25" spans="1:11" x14ac:dyDescent="0.25">
      <c r="A25" t="str">
        <f>_xlfn.CONCAT(VLOOKUP(B25,Indicateurs!$A:$B,2,0),"-",VLOOKUP(C25,Zones!$A:$B,2,0),"-",_xlfn.CONCAT(IF(K25&lt;&gt;"",VLOOKUP(K25,Desagregations!$A:$B,2,0),""),IF(L25&lt;&gt;"","_",""),IF(L25&lt;&gt;"",VLOOKUP(L25,Desagregations!$A:$B,2,0),""),IF(M25&lt;&gt;"","_",""),IF(M25&lt;&gt;"",VLOOKUP(M25,Desagregations!$A:$B,2,0),""),IF(N25&lt;&gt;"","_",""),IF(N25&lt;&gt;"",VLOOKUP(N25,Desagregations!$A:$B,2,0),""),IF(O25&lt;&gt;"","_",""),IF(O25&lt;&gt;"",VLOOKUP(O25,Desagregations!$A:$B,2,0),""),IF(P25&lt;&gt;"","_",""),IF(P25&lt;&gt;"",VLOOKUP(P25,Desagregations!$A:$B,2,0),"")),"-",VLOOKUP(D25,Unites!$A:$B,2,0),"-",VLOOKUP(E25,Sources!$A:$B,2,0),"-",VLOOKUP(F25,CommentaireValeurIndicateurs!$A:$B,2,0),"-",VLOOKUP(G25,NatureDonnees!$A:$B,2,0),"-",VLOOKUP(H25,Periodes!$A:$B,2,0))</f>
        <v>1269-1-6-4-17-3-3-25</v>
      </c>
      <c r="B25" s="2" t="s">
        <v>25</v>
      </c>
      <c r="C25" s="4" t="s">
        <v>136</v>
      </c>
      <c r="D25" t="s">
        <v>125</v>
      </c>
      <c r="E25" t="s">
        <v>91</v>
      </c>
      <c r="F25" s="4" t="s">
        <v>399</v>
      </c>
      <c r="G25" s="4" t="s">
        <v>402</v>
      </c>
      <c r="H25">
        <v>2024</v>
      </c>
      <c r="I25">
        <v>68.98</v>
      </c>
      <c r="K25" t="s">
        <v>77</v>
      </c>
    </row>
    <row r="26" spans="1:11" x14ac:dyDescent="0.25">
      <c r="A26" t="str">
        <f>_xlfn.CONCAT(VLOOKUP(B26,Indicateurs!$A:$B,2,0),"-",VLOOKUP(C26,Zones!$A:$B,2,0),"-",_xlfn.CONCAT(IF(K26&lt;&gt;"",VLOOKUP(K26,Desagregations!$A:$B,2,0),""),IF(L26&lt;&gt;"","_",""),IF(L26&lt;&gt;"",VLOOKUP(L26,Desagregations!$A:$B,2,0),""),IF(M26&lt;&gt;"","_",""),IF(M26&lt;&gt;"",VLOOKUP(M26,Desagregations!$A:$B,2,0),""),IF(N26&lt;&gt;"","_",""),IF(N26&lt;&gt;"",VLOOKUP(N26,Desagregations!$A:$B,2,0),""),IF(O26&lt;&gt;"","_",""),IF(O26&lt;&gt;"",VLOOKUP(O26,Desagregations!$A:$B,2,0),""),IF(P26&lt;&gt;"","_",""),IF(P26&lt;&gt;"",VLOOKUP(P26,Desagregations!$A:$B,2,0),"")),"-",VLOOKUP(D26,Unites!$A:$B,2,0),"-",VLOOKUP(E26,Sources!$A:$B,2,0),"-",VLOOKUP(F26,CommentaireValeurIndicateurs!$A:$B,2,0),"-",VLOOKUP(G26,NatureDonnees!$A:$B,2,0),"-",VLOOKUP(H26,Periodes!$A:$B,2,0))</f>
        <v>1270-1-6-4-18-3-3-25</v>
      </c>
      <c r="B26" s="2" t="s">
        <v>26</v>
      </c>
      <c r="C26" s="4" t="s">
        <v>136</v>
      </c>
      <c r="D26" t="s">
        <v>125</v>
      </c>
      <c r="E26" t="s">
        <v>92</v>
      </c>
      <c r="F26" s="4" t="s">
        <v>399</v>
      </c>
      <c r="G26" s="4" t="s">
        <v>402</v>
      </c>
      <c r="H26">
        <v>2024</v>
      </c>
      <c r="I26">
        <v>15</v>
      </c>
      <c r="K26" t="s">
        <v>77</v>
      </c>
    </row>
    <row r="27" spans="1:11" x14ac:dyDescent="0.25">
      <c r="A27" t="str">
        <f>_xlfn.CONCAT(VLOOKUP(B27,Indicateurs!$A:$B,2,0),"-",VLOOKUP(C27,Zones!$A:$B,2,0),"-",_xlfn.CONCAT(IF(K27&lt;&gt;"",VLOOKUP(K27,Desagregations!$A:$B,2,0),""),IF(L27&lt;&gt;"","_",""),IF(L27&lt;&gt;"",VLOOKUP(L27,Desagregations!$A:$B,2,0),""),IF(M27&lt;&gt;"","_",""),IF(M27&lt;&gt;"",VLOOKUP(M27,Desagregations!$A:$B,2,0),""),IF(N27&lt;&gt;"","_",""),IF(N27&lt;&gt;"",VLOOKUP(N27,Desagregations!$A:$B,2,0),""),IF(O27&lt;&gt;"","_",""),IF(O27&lt;&gt;"",VLOOKUP(O27,Desagregations!$A:$B,2,0),""),IF(P27&lt;&gt;"","_",""),IF(P27&lt;&gt;"",VLOOKUP(P27,Desagregations!$A:$B,2,0),"")),"-",VLOOKUP(D27,Unites!$A:$B,2,0),"-",VLOOKUP(E27,Sources!$A:$B,2,0),"-",VLOOKUP(F27,CommentaireValeurIndicateurs!$A:$B,2,0),"-",VLOOKUP(G27,NatureDonnees!$A:$B,2,0),"-",VLOOKUP(H27,Periodes!$A:$B,2,0))</f>
        <v>1271-1-6-4-19-3-3-25</v>
      </c>
      <c r="B27" s="3" t="s">
        <v>27</v>
      </c>
      <c r="C27" s="4" t="s">
        <v>136</v>
      </c>
      <c r="D27" t="s">
        <v>125</v>
      </c>
      <c r="E27" t="s">
        <v>93</v>
      </c>
      <c r="F27" s="4" t="s">
        <v>399</v>
      </c>
      <c r="G27" s="4" t="s">
        <v>402</v>
      </c>
      <c r="H27">
        <v>2024</v>
      </c>
      <c r="I27">
        <v>7</v>
      </c>
      <c r="K27" t="s">
        <v>77</v>
      </c>
    </row>
    <row r="28" spans="1:11" x14ac:dyDescent="0.25">
      <c r="A28" t="e">
        <f>_xlfn.CONCAT(VLOOKUP(B28,Indicateurs!$A:$B,2,0),"-",VLOOKUP(C28,Zones!$A:$B,2,0),"-",_xlfn.CONCAT(IF(K28&lt;&gt;"",VLOOKUP(K28,Desagregations!$A:$B,2,0),""),IF(L28&lt;&gt;"","_",""),IF(L28&lt;&gt;"",VLOOKUP(L28,Desagregations!$A:$B,2,0),""),IF(M28&lt;&gt;"","_",""),IF(M28&lt;&gt;"",VLOOKUP(M28,Desagregations!$A:$B,2,0),""),IF(N28&lt;&gt;"","_",""),IF(N28&lt;&gt;"",VLOOKUP(N28,Desagregations!$A:$B,2,0),""),IF(O28&lt;&gt;"","_",""),IF(O28&lt;&gt;"",VLOOKUP(O28,Desagregations!$A:$B,2,0),""),IF(P28&lt;&gt;"","_",""),IF(P28&lt;&gt;"",VLOOKUP(P28,Desagregations!$A:$B,2,0),"")),"-",VLOOKUP(D28,Unites!$A:$B,2,0),"-",VLOOKUP(E28,Sources!$A:$B,2,0),"-",VLOOKUP(F28,CommentaireValeurIndicateurs!$A:$B,2,0),"-",VLOOKUP(G28,NatureDonnees!$A:$B,2,0),"-",VLOOKUP(H28,Periodes!$A:$B,2,0))</f>
        <v>#N/A</v>
      </c>
      <c r="B28" s="5" t="s">
        <v>28</v>
      </c>
      <c r="C28" s="4" t="s">
        <v>136</v>
      </c>
      <c r="D28" t="s">
        <v>125</v>
      </c>
      <c r="E28" s="4" t="s">
        <v>94</v>
      </c>
      <c r="F28" s="4" t="s">
        <v>399</v>
      </c>
      <c r="G28" s="4" t="s">
        <v>402</v>
      </c>
      <c r="I28" s="6"/>
      <c r="K28" t="s">
        <v>77</v>
      </c>
    </row>
    <row r="29" spans="1:11" x14ac:dyDescent="0.25">
      <c r="A29" t="str">
        <f>_xlfn.CONCAT(VLOOKUP(B29,Indicateurs!$A:$B,2,0),"-",VLOOKUP(C29,Zones!$A:$B,2,0),"-",_xlfn.CONCAT(IF(K29&lt;&gt;"",VLOOKUP(K29,Desagregations!$A:$B,2,0),""),IF(L29&lt;&gt;"","_",""),IF(L29&lt;&gt;"",VLOOKUP(L29,Desagregations!$A:$B,2,0),""),IF(M29&lt;&gt;"","_",""),IF(M29&lt;&gt;"",VLOOKUP(M29,Desagregations!$A:$B,2,0),""),IF(N29&lt;&gt;"","_",""),IF(N29&lt;&gt;"",VLOOKUP(N29,Desagregations!$A:$B,2,0),""),IF(O29&lt;&gt;"","_",""),IF(O29&lt;&gt;"",VLOOKUP(O29,Desagregations!$A:$B,2,0),""),IF(P29&lt;&gt;"","_",""),IF(P29&lt;&gt;"",VLOOKUP(P29,Desagregations!$A:$B,2,0),"")),"-",VLOOKUP(D29,Unites!$A:$B,2,0),"-",VLOOKUP(E29,Sources!$A:$B,2,0),"-",VLOOKUP(F29,CommentaireValeurIndicateurs!$A:$B,2,0),"-",VLOOKUP(G29,NatureDonnees!$A:$B,2,0),"-",VLOOKUP(H29,Periodes!$A:$B,2,0))</f>
        <v>1273-1-6-4-21-3-3-24</v>
      </c>
      <c r="B29" s="2" t="s">
        <v>29</v>
      </c>
      <c r="C29" s="4" t="s">
        <v>136</v>
      </c>
      <c r="D29" t="s">
        <v>125</v>
      </c>
      <c r="E29" t="s">
        <v>95</v>
      </c>
      <c r="F29" s="4" t="s">
        <v>399</v>
      </c>
      <c r="G29" s="4" t="s">
        <v>402</v>
      </c>
      <c r="H29">
        <v>2023</v>
      </c>
      <c r="I29">
        <v>11.7</v>
      </c>
      <c r="K29" t="s">
        <v>77</v>
      </c>
    </row>
    <row r="30" spans="1:11" x14ac:dyDescent="0.25">
      <c r="A30" t="str">
        <f>_xlfn.CONCAT(VLOOKUP(B30,Indicateurs!$A:$B,2,0),"-",VLOOKUP(C30,Zones!$A:$B,2,0),"-",_xlfn.CONCAT(IF(K30&lt;&gt;"",VLOOKUP(K30,Desagregations!$A:$B,2,0),""),IF(L30&lt;&gt;"","_",""),IF(L30&lt;&gt;"",VLOOKUP(L30,Desagregations!$A:$B,2,0),""),IF(M30&lt;&gt;"","_",""),IF(M30&lt;&gt;"",VLOOKUP(M30,Desagregations!$A:$B,2,0),""),IF(N30&lt;&gt;"","_",""),IF(N30&lt;&gt;"",VLOOKUP(N30,Desagregations!$A:$B,2,0),""),IF(O30&lt;&gt;"","_",""),IF(O30&lt;&gt;"",VLOOKUP(O30,Desagregations!$A:$B,2,0),""),IF(P30&lt;&gt;"","_",""),IF(P30&lt;&gt;"",VLOOKUP(P30,Desagregations!$A:$B,2,0),"")),"-",VLOOKUP(D30,Unites!$A:$B,2,0),"-",VLOOKUP(E30,Sources!$A:$B,2,0),"-",VLOOKUP(F30,CommentaireValeurIndicateurs!$A:$B,2,0),"-",VLOOKUP(G30,NatureDonnees!$A:$B,2,0),"-",VLOOKUP(H30,Periodes!$A:$B,2,0))</f>
        <v>1274-1-6-4-16-3-3-25</v>
      </c>
      <c r="B30" s="2" t="s">
        <v>30</v>
      </c>
      <c r="C30" s="4" t="s">
        <v>136</v>
      </c>
      <c r="D30" t="s">
        <v>125</v>
      </c>
      <c r="E30" t="s">
        <v>90</v>
      </c>
      <c r="F30" s="4" t="s">
        <v>399</v>
      </c>
      <c r="G30" s="4" t="s">
        <v>402</v>
      </c>
      <c r="H30">
        <v>2024</v>
      </c>
      <c r="I30">
        <v>26.45</v>
      </c>
      <c r="K30" t="s">
        <v>77</v>
      </c>
    </row>
    <row r="31" spans="1:11" x14ac:dyDescent="0.25">
      <c r="A31" t="str">
        <f>_xlfn.CONCAT(VLOOKUP(B31,Indicateurs!$A:$B,2,0),"-",VLOOKUP(C31,Zones!$A:$B,2,0),"-",_xlfn.CONCAT(IF(K31&lt;&gt;"",VLOOKUP(K31,Desagregations!$A:$B,2,0),""),IF(L31&lt;&gt;"","_",""),IF(L31&lt;&gt;"",VLOOKUP(L31,Desagregations!$A:$B,2,0),""),IF(M31&lt;&gt;"","_",""),IF(M31&lt;&gt;"",VLOOKUP(M31,Desagregations!$A:$B,2,0),""),IF(N31&lt;&gt;"","_",""),IF(N31&lt;&gt;"",VLOOKUP(N31,Desagregations!$A:$B,2,0),""),IF(O31&lt;&gt;"","_",""),IF(O31&lt;&gt;"",VLOOKUP(O31,Desagregations!$A:$B,2,0),""),IF(P31&lt;&gt;"","_",""),IF(P31&lt;&gt;"",VLOOKUP(P31,Desagregations!$A:$B,2,0),"")),"-",VLOOKUP(D31,Unites!$A:$B,2,0),"-",VLOOKUP(E31,Sources!$A:$B,2,0),"-",VLOOKUP(F31,CommentaireValeurIndicateurs!$A:$B,2,0),"-",VLOOKUP(G31,NatureDonnees!$A:$B,2,0),"-",VLOOKUP(H31,Periodes!$A:$B,2,0))</f>
        <v>1275-1-6-4-22-3-3-23</v>
      </c>
      <c r="B31" s="2" t="s">
        <v>31</v>
      </c>
      <c r="C31" s="4" t="s">
        <v>136</v>
      </c>
      <c r="D31" t="s">
        <v>125</v>
      </c>
      <c r="E31" t="s">
        <v>96</v>
      </c>
      <c r="F31" s="4" t="s">
        <v>399</v>
      </c>
      <c r="G31" s="4" t="s">
        <v>402</v>
      </c>
      <c r="H31">
        <v>2022</v>
      </c>
      <c r="I31">
        <v>37</v>
      </c>
      <c r="K31" t="s">
        <v>77</v>
      </c>
    </row>
    <row r="32" spans="1:11" x14ac:dyDescent="0.25">
      <c r="A32" t="str">
        <f>_xlfn.CONCAT(VLOOKUP(B32,Indicateurs!$A:$B,2,0),"-",VLOOKUP(C32,Zones!$A:$B,2,0),"-",_xlfn.CONCAT(IF(K32&lt;&gt;"",VLOOKUP(K32,Desagregations!$A:$B,2,0),""),IF(L32&lt;&gt;"","_",""),IF(L32&lt;&gt;"",VLOOKUP(L32,Desagregations!$A:$B,2,0),""),IF(M32&lt;&gt;"","_",""),IF(M32&lt;&gt;"",VLOOKUP(M32,Desagregations!$A:$B,2,0),""),IF(N32&lt;&gt;"","_",""),IF(N32&lt;&gt;"",VLOOKUP(N32,Desagregations!$A:$B,2,0),""),IF(O32&lt;&gt;"","_",""),IF(O32&lt;&gt;"",VLOOKUP(O32,Desagregations!$A:$B,2,0),""),IF(P32&lt;&gt;"","_",""),IF(P32&lt;&gt;"",VLOOKUP(P32,Desagregations!$A:$B,2,0),"")),"-",VLOOKUP(D32,Unites!$A:$B,2,0),"-",VLOOKUP(E32,Sources!$A:$B,2,0),"-",VLOOKUP(F32,CommentaireValeurIndicateurs!$A:$B,2,0),"-",VLOOKUP(G32,NatureDonnees!$A:$B,2,0),"-",VLOOKUP(H32,Periodes!$A:$B,2,0))</f>
        <v>1276-1-6-4-22-3-3-25</v>
      </c>
      <c r="B32" s="3" t="s">
        <v>32</v>
      </c>
      <c r="C32" s="4" t="s">
        <v>136</v>
      </c>
      <c r="D32" t="s">
        <v>125</v>
      </c>
      <c r="E32" t="s">
        <v>96</v>
      </c>
      <c r="F32" s="4" t="s">
        <v>399</v>
      </c>
      <c r="G32" s="4" t="s">
        <v>402</v>
      </c>
      <c r="H32">
        <v>2024</v>
      </c>
      <c r="I32">
        <v>13.35</v>
      </c>
      <c r="K32" t="s">
        <v>77</v>
      </c>
    </row>
    <row r="33" spans="1:11" x14ac:dyDescent="0.25">
      <c r="A33" t="str">
        <f>_xlfn.CONCAT(VLOOKUP(B33,Indicateurs!$A:$B,2,0),"-",VLOOKUP(C33,Zones!$A:$B,2,0),"-",_xlfn.CONCAT(IF(K33&lt;&gt;"",VLOOKUP(K33,Desagregations!$A:$B,2,0),""),IF(L33&lt;&gt;"","_",""),IF(L33&lt;&gt;"",VLOOKUP(L33,Desagregations!$A:$B,2,0),""),IF(M33&lt;&gt;"","_",""),IF(M33&lt;&gt;"",VLOOKUP(M33,Desagregations!$A:$B,2,0),""),IF(N33&lt;&gt;"","_",""),IF(N33&lt;&gt;"",VLOOKUP(N33,Desagregations!$A:$B,2,0),""),IF(O33&lt;&gt;"","_",""),IF(O33&lt;&gt;"",VLOOKUP(O33,Desagregations!$A:$B,2,0),""),IF(P33&lt;&gt;"","_",""),IF(P33&lt;&gt;"",VLOOKUP(P33,Desagregations!$A:$B,2,0),"")),"-",VLOOKUP(D33,Unites!$A:$B,2,0),"-",VLOOKUP(E33,Sources!$A:$B,2,0),"-",VLOOKUP(F33,CommentaireValeurIndicateurs!$A:$B,2,0),"-",VLOOKUP(G33,NatureDonnees!$A:$B,2,0),"-",VLOOKUP(H33,Periodes!$A:$B,2,0))</f>
        <v>1277-1-6-4-22-3-3-25</v>
      </c>
      <c r="B33" s="3" t="s">
        <v>33</v>
      </c>
      <c r="C33" s="4" t="s">
        <v>136</v>
      </c>
      <c r="D33" t="s">
        <v>125</v>
      </c>
      <c r="E33" t="s">
        <v>96</v>
      </c>
      <c r="F33" s="4" t="s">
        <v>399</v>
      </c>
      <c r="G33" s="4" t="s">
        <v>402</v>
      </c>
      <c r="H33">
        <v>2024</v>
      </c>
      <c r="I33">
        <v>18</v>
      </c>
      <c r="K33" t="s">
        <v>77</v>
      </c>
    </row>
    <row r="34" spans="1:11" x14ac:dyDescent="0.25">
      <c r="A34" t="str">
        <f>_xlfn.CONCAT(VLOOKUP(B34,Indicateurs!$A:$B,2,0),"-",VLOOKUP(C34,Zones!$A:$B,2,0),"-",_xlfn.CONCAT(IF(K34&lt;&gt;"",VLOOKUP(K34,Desagregations!$A:$B,2,0),""),IF(L34&lt;&gt;"","_",""),IF(L34&lt;&gt;"",VLOOKUP(L34,Desagregations!$A:$B,2,0),""),IF(M34&lt;&gt;"","_",""),IF(M34&lt;&gt;"",VLOOKUP(M34,Desagregations!$A:$B,2,0),""),IF(N34&lt;&gt;"","_",""),IF(N34&lt;&gt;"",VLOOKUP(N34,Desagregations!$A:$B,2,0),""),IF(O34&lt;&gt;"","_",""),IF(O34&lt;&gt;"",VLOOKUP(O34,Desagregations!$A:$B,2,0),""),IF(P34&lt;&gt;"","_",""),IF(P34&lt;&gt;"",VLOOKUP(P34,Desagregations!$A:$B,2,0),"")),"-",VLOOKUP(D34,Unites!$A:$B,2,0),"-",VLOOKUP(E34,Sources!$A:$B,2,0),"-",VLOOKUP(F34,CommentaireValeurIndicateurs!$A:$B,2,0),"-",VLOOKUP(G34,NatureDonnees!$A:$B,2,0),"-",VLOOKUP(H34,Periodes!$A:$B,2,0))</f>
        <v>1278-1-6-4-16-3-3-25</v>
      </c>
      <c r="B34" s="2" t="s">
        <v>34</v>
      </c>
      <c r="C34" s="4" t="s">
        <v>136</v>
      </c>
      <c r="D34" t="s">
        <v>125</v>
      </c>
      <c r="E34" t="s">
        <v>90</v>
      </c>
      <c r="F34" s="4" t="s">
        <v>399</v>
      </c>
      <c r="G34" s="4" t="s">
        <v>402</v>
      </c>
      <c r="H34">
        <v>2024</v>
      </c>
      <c r="I34">
        <v>8.9700000000000006</v>
      </c>
      <c r="K34" t="s">
        <v>77</v>
      </c>
    </row>
    <row r="35" spans="1:11" x14ac:dyDescent="0.25">
      <c r="A35" t="str">
        <f>_xlfn.CONCAT(VLOOKUP(B35,Indicateurs!$A:$B,2,0),"-",VLOOKUP(C35,Zones!$A:$B,2,0),"-",_xlfn.CONCAT(IF(K35&lt;&gt;"",VLOOKUP(K35,Desagregations!$A:$B,2,0),""),IF(L35&lt;&gt;"","_",""),IF(L35&lt;&gt;"",VLOOKUP(L35,Desagregations!$A:$B,2,0),""),IF(M35&lt;&gt;"","_",""),IF(M35&lt;&gt;"",VLOOKUP(M35,Desagregations!$A:$B,2,0),""),IF(N35&lt;&gt;"","_",""),IF(N35&lt;&gt;"",VLOOKUP(N35,Desagregations!$A:$B,2,0),""),IF(O35&lt;&gt;"","_",""),IF(O35&lt;&gt;"",VLOOKUP(O35,Desagregations!$A:$B,2,0),""),IF(P35&lt;&gt;"","_",""),IF(P35&lt;&gt;"",VLOOKUP(P35,Desagregations!$A:$B,2,0),"")),"-",VLOOKUP(D35,Unites!$A:$B,2,0),"-",VLOOKUP(E35,Sources!$A:$B,2,0),"-",VLOOKUP(F35,CommentaireValeurIndicateurs!$A:$B,2,0),"-",VLOOKUP(G35,NatureDonnees!$A:$B,2,0),"-",VLOOKUP(H35,Periodes!$A:$B,2,0))</f>
        <v>1279-1-6-4-23-3-3-25</v>
      </c>
      <c r="B35" s="2" t="s">
        <v>35</v>
      </c>
      <c r="C35" s="4" t="s">
        <v>136</v>
      </c>
      <c r="D35" t="s">
        <v>125</v>
      </c>
      <c r="E35" t="s">
        <v>97</v>
      </c>
      <c r="F35" s="4" t="s">
        <v>399</v>
      </c>
      <c r="G35" s="4" t="s">
        <v>402</v>
      </c>
      <c r="H35">
        <v>2024</v>
      </c>
      <c r="I35">
        <v>40.1</v>
      </c>
      <c r="K35" t="s">
        <v>77</v>
      </c>
    </row>
    <row r="36" spans="1:11" x14ac:dyDescent="0.25">
      <c r="A36" t="str">
        <f>_xlfn.CONCAT(VLOOKUP(B36,Indicateurs!$A:$B,2,0),"-",VLOOKUP(C36,Zones!$A:$B,2,0),"-",_xlfn.CONCAT(IF(K36&lt;&gt;"",VLOOKUP(K36,Desagregations!$A:$B,2,0),""),IF(L36&lt;&gt;"","_",""),IF(L36&lt;&gt;"",VLOOKUP(L36,Desagregations!$A:$B,2,0),""),IF(M36&lt;&gt;"","_",""),IF(M36&lt;&gt;"",VLOOKUP(M36,Desagregations!$A:$B,2,0),""),IF(N36&lt;&gt;"","_",""),IF(N36&lt;&gt;"",VLOOKUP(N36,Desagregations!$A:$B,2,0),""),IF(O36&lt;&gt;"","_",""),IF(O36&lt;&gt;"",VLOOKUP(O36,Desagregations!$A:$B,2,0),""),IF(P36&lt;&gt;"","_",""),IF(P36&lt;&gt;"",VLOOKUP(P36,Desagregations!$A:$B,2,0),"")),"-",VLOOKUP(D36,Unites!$A:$B,2,0),"-",VLOOKUP(E36,Sources!$A:$B,2,0),"-",VLOOKUP(F36,CommentaireValeurIndicateurs!$A:$B,2,0),"-",VLOOKUP(G36,NatureDonnees!$A:$B,2,0),"-",VLOOKUP(H36,Periodes!$A:$B,2,0))</f>
        <v>1280-1-6-4-24-3-3-23</v>
      </c>
      <c r="B36" s="2" t="s">
        <v>36</v>
      </c>
      <c r="C36" s="4" t="s">
        <v>136</v>
      </c>
      <c r="D36" t="s">
        <v>125</v>
      </c>
      <c r="E36" t="s">
        <v>98</v>
      </c>
      <c r="F36" s="4" t="s">
        <v>399</v>
      </c>
      <c r="G36" s="4" t="s">
        <v>402</v>
      </c>
      <c r="H36">
        <v>2022</v>
      </c>
      <c r="I36">
        <v>14.6</v>
      </c>
      <c r="K36" t="s">
        <v>77</v>
      </c>
    </row>
    <row r="37" spans="1:11" x14ac:dyDescent="0.25">
      <c r="A37" t="str">
        <f>_xlfn.CONCAT(VLOOKUP(B37,Indicateurs!$A:$B,2,0),"-",VLOOKUP(C37,Zones!$A:$B,2,0),"-",_xlfn.CONCAT(IF(K37&lt;&gt;"",VLOOKUP(K37,Desagregations!$A:$B,2,0),""),IF(L37&lt;&gt;"","_",""),IF(L37&lt;&gt;"",VLOOKUP(L37,Desagregations!$A:$B,2,0),""),IF(M37&lt;&gt;"","_",""),IF(M37&lt;&gt;"",VLOOKUP(M37,Desagregations!$A:$B,2,0),""),IF(N37&lt;&gt;"","_",""),IF(N37&lt;&gt;"",VLOOKUP(N37,Desagregations!$A:$B,2,0),""),IF(O37&lt;&gt;"","_",""),IF(O37&lt;&gt;"",VLOOKUP(O37,Desagregations!$A:$B,2,0),""),IF(P37&lt;&gt;"","_",""),IF(P37&lt;&gt;"",VLOOKUP(P37,Desagregations!$A:$B,2,0),"")),"-",VLOOKUP(D37,Unites!$A:$B,2,0),"-",VLOOKUP(E37,Sources!$A:$B,2,0),"-",VLOOKUP(F37,CommentaireValeurIndicateurs!$A:$B,2,0),"-",VLOOKUP(G37,NatureDonnees!$A:$B,2,0),"-",VLOOKUP(H37,Periodes!$A:$B,2,0))</f>
        <v>1281-1-6-4-25-3-3-25</v>
      </c>
      <c r="B37" s="2" t="s">
        <v>37</v>
      </c>
      <c r="C37" s="4" t="s">
        <v>136</v>
      </c>
      <c r="D37" t="s">
        <v>125</v>
      </c>
      <c r="E37" t="s">
        <v>99</v>
      </c>
      <c r="F37" s="4" t="s">
        <v>399</v>
      </c>
      <c r="G37" s="4" t="s">
        <v>402</v>
      </c>
      <c r="H37">
        <v>2024</v>
      </c>
      <c r="I37">
        <v>33</v>
      </c>
      <c r="K37" t="s">
        <v>77</v>
      </c>
    </row>
    <row r="38" spans="1:11" x14ac:dyDescent="0.25">
      <c r="A38" t="str">
        <f>_xlfn.CONCAT(VLOOKUP(B38,Indicateurs!$A:$B,2,0),"-",VLOOKUP(C38,Zones!$A:$B,2,0),"-",_xlfn.CONCAT(IF(K38&lt;&gt;"",VLOOKUP(K38,Desagregations!$A:$B,2,0),""),IF(L38&lt;&gt;"","_",""),IF(L38&lt;&gt;"",VLOOKUP(L38,Desagregations!$A:$B,2,0),""),IF(M38&lt;&gt;"","_",""),IF(M38&lt;&gt;"",VLOOKUP(M38,Desagregations!$A:$B,2,0),""),IF(N38&lt;&gt;"","_",""),IF(N38&lt;&gt;"",VLOOKUP(N38,Desagregations!$A:$B,2,0),""),IF(O38&lt;&gt;"","_",""),IF(O38&lt;&gt;"",VLOOKUP(O38,Desagregations!$A:$B,2,0),""),IF(P38&lt;&gt;"","_",""),IF(P38&lt;&gt;"",VLOOKUP(P38,Desagregations!$A:$B,2,0),"")),"-",VLOOKUP(D38,Unites!$A:$B,2,0),"-",VLOOKUP(E38,Sources!$A:$B,2,0),"-",VLOOKUP(F38,CommentaireValeurIndicateurs!$A:$B,2,0),"-",VLOOKUP(G38,NatureDonnees!$A:$B,2,0),"-",VLOOKUP(H38,Periodes!$A:$B,2,0))</f>
        <v>1282-1-6-4-25-3-3-25</v>
      </c>
      <c r="B38" s="2" t="s">
        <v>38</v>
      </c>
      <c r="C38" s="4" t="s">
        <v>136</v>
      </c>
      <c r="D38" t="s">
        <v>125</v>
      </c>
      <c r="E38" t="s">
        <v>99</v>
      </c>
      <c r="F38" s="4" t="s">
        <v>399</v>
      </c>
      <c r="G38" s="4" t="s">
        <v>402</v>
      </c>
      <c r="H38">
        <v>2024</v>
      </c>
      <c r="I38">
        <v>59</v>
      </c>
      <c r="K38" t="s">
        <v>77</v>
      </c>
    </row>
    <row r="39" spans="1:11" x14ac:dyDescent="0.25">
      <c r="A39" t="str">
        <f>_xlfn.CONCAT(VLOOKUP(B39,Indicateurs!$A:$B,2,0),"-",VLOOKUP(C39,Zones!$A:$B,2,0),"-",_xlfn.CONCAT(IF(K39&lt;&gt;"",VLOOKUP(K39,Desagregations!$A:$B,2,0),""),IF(L39&lt;&gt;"","_",""),IF(L39&lt;&gt;"",VLOOKUP(L39,Desagregations!$A:$B,2,0),""),IF(M39&lt;&gt;"","_",""),IF(M39&lt;&gt;"",VLOOKUP(M39,Desagregations!$A:$B,2,0),""),IF(N39&lt;&gt;"","_",""),IF(N39&lt;&gt;"",VLOOKUP(N39,Desagregations!$A:$B,2,0),""),IF(O39&lt;&gt;"","_",""),IF(O39&lt;&gt;"",VLOOKUP(O39,Desagregations!$A:$B,2,0),""),IF(P39&lt;&gt;"","_",""),IF(P39&lt;&gt;"",VLOOKUP(P39,Desagregations!$A:$B,2,0),"")),"-",VLOOKUP(D39,Unites!$A:$B,2,0),"-",VLOOKUP(E39,Sources!$A:$B,2,0),"-",VLOOKUP(F39,CommentaireValeurIndicateurs!$A:$B,2,0),"-",VLOOKUP(G39,NatureDonnees!$A:$B,2,0),"-",VLOOKUP(H39,Periodes!$A:$B,2,0))</f>
        <v>1283-1-6-4-26-3-3-23</v>
      </c>
      <c r="B39" s="2" t="s">
        <v>39</v>
      </c>
      <c r="C39" s="4" t="s">
        <v>136</v>
      </c>
      <c r="D39" t="s">
        <v>125</v>
      </c>
      <c r="E39" t="s">
        <v>100</v>
      </c>
      <c r="F39" s="4" t="s">
        <v>399</v>
      </c>
      <c r="G39" s="4" t="s">
        <v>402</v>
      </c>
      <c r="H39">
        <v>2022</v>
      </c>
      <c r="I39">
        <v>1.8</v>
      </c>
      <c r="K39" t="s">
        <v>77</v>
      </c>
    </row>
    <row r="40" spans="1:11" x14ac:dyDescent="0.25">
      <c r="A40" t="str">
        <f>_xlfn.CONCAT(VLOOKUP(B40,Indicateurs!$A:$B,2,0),"-",VLOOKUP(C40,Zones!$A:$B,2,0),"-",_xlfn.CONCAT(IF(K40&lt;&gt;"",VLOOKUP(K40,Desagregations!$A:$B,2,0),""),IF(L40&lt;&gt;"","_",""),IF(L40&lt;&gt;"",VLOOKUP(L40,Desagregations!$A:$B,2,0),""),IF(M40&lt;&gt;"","_",""),IF(M40&lt;&gt;"",VLOOKUP(M40,Desagregations!$A:$B,2,0),""),IF(N40&lt;&gt;"","_",""),IF(N40&lt;&gt;"",VLOOKUP(N40,Desagregations!$A:$B,2,0),""),IF(O40&lt;&gt;"","_",""),IF(O40&lt;&gt;"",VLOOKUP(O40,Desagregations!$A:$B,2,0),""),IF(P40&lt;&gt;"","_",""),IF(P40&lt;&gt;"",VLOOKUP(P40,Desagregations!$A:$B,2,0),"")),"-",VLOOKUP(D40,Unites!$A:$B,2,0),"-",VLOOKUP(E40,Sources!$A:$B,2,0),"-",VLOOKUP(F40,CommentaireValeurIndicateurs!$A:$B,2,0),"-",VLOOKUP(G40,NatureDonnees!$A:$B,2,0),"-",VLOOKUP(H40,Periodes!$A:$B,2,0))</f>
        <v>1284-1-6-4-26-3-3-23</v>
      </c>
      <c r="B40" s="2" t="s">
        <v>40</v>
      </c>
      <c r="C40" s="4" t="s">
        <v>136</v>
      </c>
      <c r="D40" t="s">
        <v>125</v>
      </c>
      <c r="E40" t="s">
        <v>100</v>
      </c>
      <c r="F40" s="4" t="s">
        <v>399</v>
      </c>
      <c r="G40" s="4" t="s">
        <v>402</v>
      </c>
      <c r="H40">
        <v>2022</v>
      </c>
      <c r="I40">
        <v>2.4</v>
      </c>
      <c r="K40" t="s">
        <v>77</v>
      </c>
    </row>
    <row r="41" spans="1:11" x14ac:dyDescent="0.25">
      <c r="A41" t="str">
        <f>_xlfn.CONCAT(VLOOKUP(B41,Indicateurs!$A:$B,2,0),"-",VLOOKUP(C41,Zones!$A:$B,2,0),"-",_xlfn.CONCAT(IF(K41&lt;&gt;"",VLOOKUP(K41,Desagregations!$A:$B,2,0),""),IF(L41&lt;&gt;"","_",""),IF(L41&lt;&gt;"",VLOOKUP(L41,Desagregations!$A:$B,2,0),""),IF(M41&lt;&gt;"","_",""),IF(M41&lt;&gt;"",VLOOKUP(M41,Desagregations!$A:$B,2,0),""),IF(N41&lt;&gt;"","_",""),IF(N41&lt;&gt;"",VLOOKUP(N41,Desagregations!$A:$B,2,0),""),IF(O41&lt;&gt;"","_",""),IF(O41&lt;&gt;"",VLOOKUP(O41,Desagregations!$A:$B,2,0),""),IF(P41&lt;&gt;"","_",""),IF(P41&lt;&gt;"",VLOOKUP(P41,Desagregations!$A:$B,2,0),"")),"-",VLOOKUP(D41,Unites!$A:$B,2,0),"-",VLOOKUP(E41,Sources!$A:$B,2,0),"-",VLOOKUP(F41,CommentaireValeurIndicateurs!$A:$B,2,0),"-",VLOOKUP(G41,NatureDonnees!$A:$B,2,0),"-",VLOOKUP(H41,Periodes!$A:$B,2,0))</f>
        <v>1285-1-6-4-27-3-3-23</v>
      </c>
      <c r="B41" s="2" t="s">
        <v>41</v>
      </c>
      <c r="C41" s="4" t="s">
        <v>136</v>
      </c>
      <c r="D41" t="s">
        <v>125</v>
      </c>
      <c r="E41" t="s">
        <v>101</v>
      </c>
      <c r="F41" s="4" t="s">
        <v>399</v>
      </c>
      <c r="G41" s="4" t="s">
        <v>402</v>
      </c>
      <c r="H41">
        <v>2022</v>
      </c>
      <c r="I41">
        <v>19.920000000000002</v>
      </c>
      <c r="K41" t="s">
        <v>77</v>
      </c>
    </row>
    <row r="42" spans="1:11" x14ac:dyDescent="0.25">
      <c r="A42" t="str">
        <f>_xlfn.CONCAT(VLOOKUP(B42,Indicateurs!$A:$B,2,0),"-",VLOOKUP(C42,Zones!$A:$B,2,0),"-",_xlfn.CONCAT(IF(K42&lt;&gt;"",VLOOKUP(K42,Desagregations!$A:$B,2,0),""),IF(L42&lt;&gt;"","_",""),IF(L42&lt;&gt;"",VLOOKUP(L42,Desagregations!$A:$B,2,0),""),IF(M42&lt;&gt;"","_",""),IF(M42&lt;&gt;"",VLOOKUP(M42,Desagregations!$A:$B,2,0),""),IF(N42&lt;&gt;"","_",""),IF(N42&lt;&gt;"",VLOOKUP(N42,Desagregations!$A:$B,2,0),""),IF(O42&lt;&gt;"","_",""),IF(O42&lt;&gt;"",VLOOKUP(O42,Desagregations!$A:$B,2,0),""),IF(P42&lt;&gt;"","_",""),IF(P42&lt;&gt;"",VLOOKUP(P42,Desagregations!$A:$B,2,0),"")),"-",VLOOKUP(D42,Unites!$A:$B,2,0),"-",VLOOKUP(E42,Sources!$A:$B,2,0),"-",VLOOKUP(F42,CommentaireValeurIndicateurs!$A:$B,2,0),"-",VLOOKUP(G42,NatureDonnees!$A:$B,2,0),"-",VLOOKUP(H42,Periodes!$A:$B,2,0))</f>
        <v>1286-1-6-10-28-3-3-25</v>
      </c>
      <c r="B42" s="2" t="s">
        <v>42</v>
      </c>
      <c r="C42" s="4" t="s">
        <v>136</v>
      </c>
      <c r="D42" t="s">
        <v>131</v>
      </c>
      <c r="E42" t="s">
        <v>102</v>
      </c>
      <c r="F42" s="4" t="s">
        <v>399</v>
      </c>
      <c r="G42" s="4" t="s">
        <v>402</v>
      </c>
      <c r="H42">
        <v>2024</v>
      </c>
      <c r="I42">
        <v>12.1</v>
      </c>
      <c r="K42" t="s">
        <v>77</v>
      </c>
    </row>
    <row r="43" spans="1:11" x14ac:dyDescent="0.25">
      <c r="A43" t="str">
        <f>_xlfn.CONCAT(VLOOKUP(B43,Indicateurs!$A:$B,2,0),"-",VLOOKUP(C43,Zones!$A:$B,2,0),"-",_xlfn.CONCAT(IF(K43&lt;&gt;"",VLOOKUP(K43,Desagregations!$A:$B,2,0),""),IF(L43&lt;&gt;"","_",""),IF(L43&lt;&gt;"",VLOOKUP(L43,Desagregations!$A:$B,2,0),""),IF(M43&lt;&gt;"","_",""),IF(M43&lt;&gt;"",VLOOKUP(M43,Desagregations!$A:$B,2,0),""),IF(N43&lt;&gt;"","_",""),IF(N43&lt;&gt;"",VLOOKUP(N43,Desagregations!$A:$B,2,0),""),IF(O43&lt;&gt;"","_",""),IF(O43&lt;&gt;"",VLOOKUP(O43,Desagregations!$A:$B,2,0),""),IF(P43&lt;&gt;"","_",""),IF(P43&lt;&gt;"",VLOOKUP(P43,Desagregations!$A:$B,2,0),"")),"-",VLOOKUP(D43,Unites!$A:$B,2,0),"-",VLOOKUP(E43,Sources!$A:$B,2,0),"-",VLOOKUP(F43,CommentaireValeurIndicateurs!$A:$B,2,0),"-",VLOOKUP(G43,NatureDonnees!$A:$B,2,0),"-",VLOOKUP(H43,Periodes!$A:$B,2,0))</f>
        <v>1287-1-6-6-29-3-3-23</v>
      </c>
      <c r="B43" s="2" t="s">
        <v>43</v>
      </c>
      <c r="C43" s="4" t="s">
        <v>136</v>
      </c>
      <c r="D43" t="s">
        <v>127</v>
      </c>
      <c r="E43" t="s">
        <v>103</v>
      </c>
      <c r="F43" s="4" t="s">
        <v>399</v>
      </c>
      <c r="G43" s="4" t="s">
        <v>402</v>
      </c>
      <c r="H43">
        <v>2022</v>
      </c>
      <c r="I43">
        <v>23</v>
      </c>
      <c r="K43" t="s">
        <v>77</v>
      </c>
    </row>
    <row r="44" spans="1:11" x14ac:dyDescent="0.25">
      <c r="A44" t="str">
        <f>_xlfn.CONCAT(VLOOKUP(B44,Indicateurs!$A:$B,2,0),"-",VLOOKUP(C44,Zones!$A:$B,2,0),"-",_xlfn.CONCAT(IF(K44&lt;&gt;"",VLOOKUP(K44,Desagregations!$A:$B,2,0),""),IF(L44&lt;&gt;"","_",""),IF(L44&lt;&gt;"",VLOOKUP(L44,Desagregations!$A:$B,2,0),""),IF(M44&lt;&gt;"","_",""),IF(M44&lt;&gt;"",VLOOKUP(M44,Desagregations!$A:$B,2,0),""),IF(N44&lt;&gt;"","_",""),IF(N44&lt;&gt;"",VLOOKUP(N44,Desagregations!$A:$B,2,0),""),IF(O44&lt;&gt;"","_",""),IF(O44&lt;&gt;"",VLOOKUP(O44,Desagregations!$A:$B,2,0),""),IF(P44&lt;&gt;"","_",""),IF(P44&lt;&gt;"",VLOOKUP(P44,Desagregations!$A:$B,2,0),"")),"-",VLOOKUP(D44,Unites!$A:$B,2,0),"-",VLOOKUP(E44,Sources!$A:$B,2,0),"-",VLOOKUP(F44,CommentaireValeurIndicateurs!$A:$B,2,0),"-",VLOOKUP(G44,NatureDonnees!$A:$B,2,0),"-",VLOOKUP(H44,Periodes!$A:$B,2,0))</f>
        <v>1288-1-6-4-30-3-3-23</v>
      </c>
      <c r="B44" s="2" t="s">
        <v>44</v>
      </c>
      <c r="C44" s="4" t="s">
        <v>136</v>
      </c>
      <c r="D44" t="s">
        <v>125</v>
      </c>
      <c r="E44" s="4" t="s">
        <v>104</v>
      </c>
      <c r="F44" s="4" t="s">
        <v>399</v>
      </c>
      <c r="G44" s="4" t="s">
        <v>402</v>
      </c>
      <c r="H44">
        <v>2022</v>
      </c>
      <c r="I44">
        <v>63</v>
      </c>
      <c r="K44" t="s">
        <v>77</v>
      </c>
    </row>
    <row r="45" spans="1:11" x14ac:dyDescent="0.25">
      <c r="A45" t="str">
        <f>_xlfn.CONCAT(VLOOKUP(B45,Indicateurs!$A:$B,2,0),"-",VLOOKUP(C45,Zones!$A:$B,2,0),"-",_xlfn.CONCAT(IF(K45&lt;&gt;"",VLOOKUP(K45,Desagregations!$A:$B,2,0),""),IF(L45&lt;&gt;"","_",""),IF(L45&lt;&gt;"",VLOOKUP(L45,Desagregations!$A:$B,2,0),""),IF(M45&lt;&gt;"","_",""),IF(M45&lt;&gt;"",VLOOKUP(M45,Desagregations!$A:$B,2,0),""),IF(N45&lt;&gt;"","_",""),IF(N45&lt;&gt;"",VLOOKUP(N45,Desagregations!$A:$B,2,0),""),IF(O45&lt;&gt;"","_",""),IF(O45&lt;&gt;"",VLOOKUP(O45,Desagregations!$A:$B,2,0),""),IF(P45&lt;&gt;"","_",""),IF(P45&lt;&gt;"",VLOOKUP(P45,Desagregations!$A:$B,2,0),"")),"-",VLOOKUP(D45,Unites!$A:$B,2,0),"-",VLOOKUP(E45,Sources!$A:$B,2,0),"-",VLOOKUP(F45,CommentaireValeurIndicateurs!$A:$B,2,0),"-",VLOOKUP(G45,NatureDonnees!$A:$B,2,0),"-",VLOOKUP(H45,Periodes!$A:$B,2,0))</f>
        <v>1289-1-6-4-30-3-3-23</v>
      </c>
      <c r="B45" s="2" t="s">
        <v>45</v>
      </c>
      <c r="C45" s="4" t="s">
        <v>136</v>
      </c>
      <c r="D45" t="s">
        <v>125</v>
      </c>
      <c r="E45" s="4" t="s">
        <v>104</v>
      </c>
      <c r="F45" s="4" t="s">
        <v>399</v>
      </c>
      <c r="G45" s="4" t="s">
        <v>402</v>
      </c>
      <c r="H45">
        <v>2022</v>
      </c>
      <c r="I45">
        <v>37</v>
      </c>
      <c r="K45" t="s">
        <v>77</v>
      </c>
    </row>
    <row r="46" spans="1:11" x14ac:dyDescent="0.25">
      <c r="A46" t="str">
        <f>_xlfn.CONCAT(VLOOKUP(B46,Indicateurs!$A:$B,2,0),"-",VLOOKUP(C46,Zones!$A:$B,2,0),"-",_xlfn.CONCAT(IF(K46&lt;&gt;"",VLOOKUP(K46,Desagregations!$A:$B,2,0),""),IF(L46&lt;&gt;"","_",""),IF(L46&lt;&gt;"",VLOOKUP(L46,Desagregations!$A:$B,2,0),""),IF(M46&lt;&gt;"","_",""),IF(M46&lt;&gt;"",VLOOKUP(M46,Desagregations!$A:$B,2,0),""),IF(N46&lt;&gt;"","_",""),IF(N46&lt;&gt;"",VLOOKUP(N46,Desagregations!$A:$B,2,0),""),IF(O46&lt;&gt;"","_",""),IF(O46&lt;&gt;"",VLOOKUP(O46,Desagregations!$A:$B,2,0),""),IF(P46&lt;&gt;"","_",""),IF(P46&lt;&gt;"",VLOOKUP(P46,Desagregations!$A:$B,2,0),"")),"-",VLOOKUP(D46,Unites!$A:$B,2,0),"-",VLOOKUP(E46,Sources!$A:$B,2,0),"-",VLOOKUP(F46,CommentaireValeurIndicateurs!$A:$B,2,0),"-",VLOOKUP(G46,NatureDonnees!$A:$B,2,0),"-",VLOOKUP(H46,Periodes!$A:$B,2,0))</f>
        <v>1290-1-6-4-4-3-3-22</v>
      </c>
      <c r="B46" s="2" t="s">
        <v>46</v>
      </c>
      <c r="C46" s="4" t="s">
        <v>136</v>
      </c>
      <c r="D46" t="s">
        <v>125</v>
      </c>
      <c r="E46" t="s">
        <v>78</v>
      </c>
      <c r="F46" s="4" t="s">
        <v>399</v>
      </c>
      <c r="G46" s="4" t="s">
        <v>402</v>
      </c>
      <c r="H46">
        <v>2021</v>
      </c>
      <c r="I46">
        <v>35.6</v>
      </c>
      <c r="K46" t="s">
        <v>77</v>
      </c>
    </row>
    <row r="47" spans="1:11" x14ac:dyDescent="0.25">
      <c r="A47" t="str">
        <f>_xlfn.CONCAT(VLOOKUP(B47,Indicateurs!$A:$B,2,0),"-",VLOOKUP(C47,Zones!$A:$B,2,0),"-",_xlfn.CONCAT(IF(K47&lt;&gt;"",VLOOKUP(K47,Desagregations!$A:$B,2,0),""),IF(L47&lt;&gt;"","_",""),IF(L47&lt;&gt;"",VLOOKUP(L47,Desagregations!$A:$B,2,0),""),IF(M47&lt;&gt;"","_",""),IF(M47&lt;&gt;"",VLOOKUP(M47,Desagregations!$A:$B,2,0),""),IF(N47&lt;&gt;"","_",""),IF(N47&lt;&gt;"",VLOOKUP(N47,Desagregations!$A:$B,2,0),""),IF(O47&lt;&gt;"","_",""),IF(O47&lt;&gt;"",VLOOKUP(O47,Desagregations!$A:$B,2,0),""),IF(P47&lt;&gt;"","_",""),IF(P47&lt;&gt;"",VLOOKUP(P47,Desagregations!$A:$B,2,0),"")),"-",VLOOKUP(D47,Unites!$A:$B,2,0),"-",VLOOKUP(E47,Sources!$A:$B,2,0),"-",VLOOKUP(F47,CommentaireValeurIndicateurs!$A:$B,2,0),"-",VLOOKUP(G47,NatureDonnees!$A:$B,2,0),"-",VLOOKUP(H47,Periodes!$A:$B,2,0))</f>
        <v>1291-1-6-11-31-3-3-22</v>
      </c>
      <c r="B47" s="2" t="s">
        <v>47</v>
      </c>
      <c r="C47" s="4" t="s">
        <v>136</v>
      </c>
      <c r="D47" t="s">
        <v>132</v>
      </c>
      <c r="E47" t="s">
        <v>105</v>
      </c>
      <c r="F47" s="4" t="s">
        <v>399</v>
      </c>
      <c r="G47" s="4" t="s">
        <v>402</v>
      </c>
      <c r="H47">
        <v>2021</v>
      </c>
      <c r="I47">
        <v>123</v>
      </c>
      <c r="K47" t="s">
        <v>77</v>
      </c>
    </row>
    <row r="48" spans="1:11" x14ac:dyDescent="0.25">
      <c r="A48" t="str">
        <f>_xlfn.CONCAT(VLOOKUP(B48,Indicateurs!$A:$B,2,0),"-",VLOOKUP(C48,Zones!$A:$B,2,0),"-",_xlfn.CONCAT(IF(K48&lt;&gt;"",VLOOKUP(K48,Desagregations!$A:$B,2,0),""),IF(L48&lt;&gt;"","_",""),IF(L48&lt;&gt;"",VLOOKUP(L48,Desagregations!$A:$B,2,0),""),IF(M48&lt;&gt;"","_",""),IF(M48&lt;&gt;"",VLOOKUP(M48,Desagregations!$A:$B,2,0),""),IF(N48&lt;&gt;"","_",""),IF(N48&lt;&gt;"",VLOOKUP(N48,Desagregations!$A:$B,2,0),""),IF(O48&lt;&gt;"","_",""),IF(O48&lt;&gt;"",VLOOKUP(O48,Desagregations!$A:$B,2,0),""),IF(P48&lt;&gt;"","_",""),IF(P48&lt;&gt;"",VLOOKUP(P48,Desagregations!$A:$B,2,0),"")),"-",VLOOKUP(D48,Unites!$A:$B,2,0),"-",VLOOKUP(E48,Sources!$A:$B,2,0),"-",VLOOKUP(F48,CommentaireValeurIndicateurs!$A:$B,2,0),"-",VLOOKUP(G48,NatureDonnees!$A:$B,2,0),"-",VLOOKUP(H48,Periodes!$A:$B,2,0))</f>
        <v>1292-1-6-12-32-3-3-16</v>
      </c>
      <c r="B48" s="2" t="s">
        <v>48</v>
      </c>
      <c r="C48" s="4" t="s">
        <v>136</v>
      </c>
      <c r="D48" t="s">
        <v>133</v>
      </c>
      <c r="E48" t="s">
        <v>106</v>
      </c>
      <c r="F48" s="4" t="s">
        <v>399</v>
      </c>
      <c r="G48" s="4" t="s">
        <v>402</v>
      </c>
      <c r="H48">
        <v>2015</v>
      </c>
      <c r="I48">
        <v>519.5</v>
      </c>
      <c r="K48" t="s">
        <v>77</v>
      </c>
    </row>
    <row r="49" spans="1:11" x14ac:dyDescent="0.25">
      <c r="A49" t="str">
        <f>_xlfn.CONCAT(VLOOKUP(B49,Indicateurs!$A:$B,2,0),"-",VLOOKUP(C49,Zones!$A:$B,2,0),"-",_xlfn.CONCAT(IF(K49&lt;&gt;"",VLOOKUP(K49,Desagregations!$A:$B,2,0),""),IF(L49&lt;&gt;"","_",""),IF(L49&lt;&gt;"",VLOOKUP(L49,Desagregations!$A:$B,2,0),""),IF(M49&lt;&gt;"","_",""),IF(M49&lt;&gt;"",VLOOKUP(M49,Desagregations!$A:$B,2,0),""),IF(N49&lt;&gt;"","_",""),IF(N49&lt;&gt;"",VLOOKUP(N49,Desagregations!$A:$B,2,0),""),IF(O49&lt;&gt;"","_",""),IF(O49&lt;&gt;"",VLOOKUP(O49,Desagregations!$A:$B,2,0),""),IF(P49&lt;&gt;"","_",""),IF(P49&lt;&gt;"",VLOOKUP(P49,Desagregations!$A:$B,2,0),"")),"-",VLOOKUP(D49,Unites!$A:$B,2,0),"-",VLOOKUP(E49,Sources!$A:$B,2,0),"-",VLOOKUP(F49,CommentaireValeurIndicateurs!$A:$B,2,0),"-",VLOOKUP(G49,NatureDonnees!$A:$B,2,0),"-",VLOOKUP(H49,Periodes!$A:$B,2,0))</f>
        <v>1293-1-6-4-33-3-3-25</v>
      </c>
      <c r="B49" s="2" t="s">
        <v>49</v>
      </c>
      <c r="C49" s="4" t="s">
        <v>136</v>
      </c>
      <c r="D49" t="s">
        <v>125</v>
      </c>
      <c r="E49" t="s">
        <v>107</v>
      </c>
      <c r="F49" s="4" t="s">
        <v>399</v>
      </c>
      <c r="G49" s="4" t="s">
        <v>402</v>
      </c>
      <c r="H49">
        <v>2024</v>
      </c>
      <c r="I49">
        <v>42.3</v>
      </c>
      <c r="K49" t="s">
        <v>77</v>
      </c>
    </row>
    <row r="50" spans="1:11" x14ac:dyDescent="0.25">
      <c r="A50" t="str">
        <f>_xlfn.CONCAT(VLOOKUP(B50,Indicateurs!$A:$B,2,0),"-",VLOOKUP(C50,Zones!$A:$B,2,0),"-",_xlfn.CONCAT(IF(K50&lt;&gt;"",VLOOKUP(K50,Desagregations!$A:$B,2,0),""),IF(L50&lt;&gt;"","_",""),IF(L50&lt;&gt;"",VLOOKUP(L50,Desagregations!$A:$B,2,0),""),IF(M50&lt;&gt;"","_",""),IF(M50&lt;&gt;"",VLOOKUP(M50,Desagregations!$A:$B,2,0),""),IF(N50&lt;&gt;"","_",""),IF(N50&lt;&gt;"",VLOOKUP(N50,Desagregations!$A:$B,2,0),""),IF(O50&lt;&gt;"","_",""),IF(O50&lt;&gt;"",VLOOKUP(O50,Desagregations!$A:$B,2,0),""),IF(P50&lt;&gt;"","_",""),IF(P50&lt;&gt;"",VLOOKUP(P50,Desagregations!$A:$B,2,0),"")),"-",VLOOKUP(D50,Unites!$A:$B,2,0),"-",VLOOKUP(E50,Sources!$A:$B,2,0),"-",VLOOKUP(F50,CommentaireValeurIndicateurs!$A:$B,2,0),"-",VLOOKUP(G50,NatureDonnees!$A:$B,2,0),"-",VLOOKUP(H50,Periodes!$A:$B,2,0))</f>
        <v>1294-1-6-4-33-3-3-25</v>
      </c>
      <c r="B50" s="2" t="s">
        <v>50</v>
      </c>
      <c r="C50" s="4" t="s">
        <v>136</v>
      </c>
      <c r="D50" t="s">
        <v>125</v>
      </c>
      <c r="E50" t="s">
        <v>107</v>
      </c>
      <c r="F50" s="4" t="s">
        <v>399</v>
      </c>
      <c r="G50" s="4" t="s">
        <v>402</v>
      </c>
      <c r="H50">
        <v>2024</v>
      </c>
      <c r="I50">
        <v>12.6</v>
      </c>
      <c r="K50" t="s">
        <v>77</v>
      </c>
    </row>
    <row r="51" spans="1:11" x14ac:dyDescent="0.25">
      <c r="A51" t="str">
        <f>_xlfn.CONCAT(VLOOKUP(B51,Indicateurs!$A:$B,2,0),"-",VLOOKUP(C51,Zones!$A:$B,2,0),"-",_xlfn.CONCAT(IF(K51&lt;&gt;"",VLOOKUP(K51,Desagregations!$A:$B,2,0),""),IF(L51&lt;&gt;"","_",""),IF(L51&lt;&gt;"",VLOOKUP(L51,Desagregations!$A:$B,2,0),""),IF(M51&lt;&gt;"","_",""),IF(M51&lt;&gt;"",VLOOKUP(M51,Desagregations!$A:$B,2,0),""),IF(N51&lt;&gt;"","_",""),IF(N51&lt;&gt;"",VLOOKUP(N51,Desagregations!$A:$B,2,0),""),IF(O51&lt;&gt;"","_",""),IF(O51&lt;&gt;"",VLOOKUP(O51,Desagregations!$A:$B,2,0),""),IF(P51&lt;&gt;"","_",""),IF(P51&lt;&gt;"",VLOOKUP(P51,Desagregations!$A:$B,2,0),"")),"-",VLOOKUP(D51,Unites!$A:$B,2,0),"-",VLOOKUP(E51,Sources!$A:$B,2,0),"-",VLOOKUP(F51,CommentaireValeurIndicateurs!$A:$B,2,0),"-",VLOOKUP(G51,NatureDonnees!$A:$B,2,0),"-",VLOOKUP(H51,Periodes!$A:$B,2,0))</f>
        <v>1295-1-6-4-33-3-3-25</v>
      </c>
      <c r="B51" s="2" t="s">
        <v>51</v>
      </c>
      <c r="C51" s="4" t="s">
        <v>136</v>
      </c>
      <c r="D51" t="s">
        <v>125</v>
      </c>
      <c r="E51" t="s">
        <v>107</v>
      </c>
      <c r="F51" s="4" t="s">
        <v>399</v>
      </c>
      <c r="G51" s="4" t="s">
        <v>402</v>
      </c>
      <c r="H51">
        <v>2024</v>
      </c>
      <c r="I51">
        <v>7.2</v>
      </c>
      <c r="K51" t="s">
        <v>77</v>
      </c>
    </row>
    <row r="52" spans="1:11" x14ac:dyDescent="0.25">
      <c r="A52" t="str">
        <f>_xlfn.CONCAT(VLOOKUP(B52,Indicateurs!$A:$B,2,0),"-",VLOOKUP(C52,Zones!$A:$B,2,0),"-",_xlfn.CONCAT(IF(K52&lt;&gt;"",VLOOKUP(K52,Desagregations!$A:$B,2,0),""),IF(L52&lt;&gt;"","_",""),IF(L52&lt;&gt;"",VLOOKUP(L52,Desagregations!$A:$B,2,0),""),IF(M52&lt;&gt;"","_",""),IF(M52&lt;&gt;"",VLOOKUP(M52,Desagregations!$A:$B,2,0),""),IF(N52&lt;&gt;"","_",""),IF(N52&lt;&gt;"",VLOOKUP(N52,Desagregations!$A:$B,2,0),""),IF(O52&lt;&gt;"","_",""),IF(O52&lt;&gt;"",VLOOKUP(O52,Desagregations!$A:$B,2,0),""),IF(P52&lt;&gt;"","_",""),IF(P52&lt;&gt;"",VLOOKUP(P52,Desagregations!$A:$B,2,0),"")),"-",VLOOKUP(D52,Unites!$A:$B,2,0),"-",VLOOKUP(E52,Sources!$A:$B,2,0),"-",VLOOKUP(F52,CommentaireValeurIndicateurs!$A:$B,2,0),"-",VLOOKUP(G52,NatureDonnees!$A:$B,2,0),"-",VLOOKUP(H52,Periodes!$A:$B,2,0))</f>
        <v>1296-1-6-4-33-3-3-25</v>
      </c>
      <c r="B52" s="2" t="s">
        <v>52</v>
      </c>
      <c r="C52" s="4" t="s">
        <v>136</v>
      </c>
      <c r="D52" t="s">
        <v>125</v>
      </c>
      <c r="E52" t="s">
        <v>107</v>
      </c>
      <c r="F52" s="4" t="s">
        <v>399</v>
      </c>
      <c r="G52" s="4" t="s">
        <v>402</v>
      </c>
      <c r="H52">
        <v>2024</v>
      </c>
      <c r="I52">
        <v>13.7</v>
      </c>
      <c r="K52" t="s">
        <v>77</v>
      </c>
    </row>
    <row r="53" spans="1:11" x14ac:dyDescent="0.25">
      <c r="A53" t="str">
        <f>_xlfn.CONCAT(VLOOKUP(B53,Indicateurs!$A:$B,2,0),"-",VLOOKUP(C53,Zones!$A:$B,2,0),"-",_xlfn.CONCAT(IF(K53&lt;&gt;"",VLOOKUP(K53,Desagregations!$A:$B,2,0),""),IF(L53&lt;&gt;"","_",""),IF(L53&lt;&gt;"",VLOOKUP(L53,Desagregations!$A:$B,2,0),""),IF(M53&lt;&gt;"","_",""),IF(M53&lt;&gt;"",VLOOKUP(M53,Desagregations!$A:$B,2,0),""),IF(N53&lt;&gt;"","_",""),IF(N53&lt;&gt;"",VLOOKUP(N53,Desagregations!$A:$B,2,0),""),IF(O53&lt;&gt;"","_",""),IF(O53&lt;&gt;"",VLOOKUP(O53,Desagregations!$A:$B,2,0),""),IF(P53&lt;&gt;"","_",""),IF(P53&lt;&gt;"",VLOOKUP(P53,Desagregations!$A:$B,2,0),"")),"-",VLOOKUP(D53,Unites!$A:$B,2,0),"-",VLOOKUP(E53,Sources!$A:$B,2,0),"-",VLOOKUP(F53,CommentaireValeurIndicateurs!$A:$B,2,0),"-",VLOOKUP(G53,NatureDonnees!$A:$B,2,0),"-",VLOOKUP(H53,Periodes!$A:$B,2,0))</f>
        <v>1297-1-6-5-34-3-3-20</v>
      </c>
      <c r="B53" s="2" t="s">
        <v>53</v>
      </c>
      <c r="C53" s="4" t="s">
        <v>136</v>
      </c>
      <c r="D53" t="s">
        <v>126</v>
      </c>
      <c r="E53" t="s">
        <v>108</v>
      </c>
      <c r="F53" s="4" t="s">
        <v>399</v>
      </c>
      <c r="G53" s="4" t="s">
        <v>402</v>
      </c>
      <c r="H53">
        <v>2019</v>
      </c>
      <c r="I53">
        <v>2.1</v>
      </c>
      <c r="K53" t="s">
        <v>77</v>
      </c>
    </row>
    <row r="54" spans="1:11" x14ac:dyDescent="0.25">
      <c r="A54" t="str">
        <f>_xlfn.CONCAT(VLOOKUP(B54,Indicateurs!$A:$B,2,0),"-",VLOOKUP(C54,Zones!$A:$B,2,0),"-",_xlfn.CONCAT(IF(K54&lt;&gt;"",VLOOKUP(K54,Desagregations!$A:$B,2,0),""),IF(L54&lt;&gt;"","_",""),IF(L54&lt;&gt;"",VLOOKUP(L54,Desagregations!$A:$B,2,0),""),IF(M54&lt;&gt;"","_",""),IF(M54&lt;&gt;"",VLOOKUP(M54,Desagregations!$A:$B,2,0),""),IF(N54&lt;&gt;"","_",""),IF(N54&lt;&gt;"",VLOOKUP(N54,Desagregations!$A:$B,2,0),""),IF(O54&lt;&gt;"","_",""),IF(O54&lt;&gt;"",VLOOKUP(O54,Desagregations!$A:$B,2,0),""),IF(P54&lt;&gt;"","_",""),IF(P54&lt;&gt;"",VLOOKUP(P54,Desagregations!$A:$B,2,0),"")),"-",VLOOKUP(D54,Unites!$A:$B,2,0),"-",VLOOKUP(E54,Sources!$A:$B,2,0),"-",VLOOKUP(F54,CommentaireValeurIndicateurs!$A:$B,2,0),"-",VLOOKUP(G54,NatureDonnees!$A:$B,2,0),"-",VLOOKUP(H54,Periodes!$A:$B,2,0))</f>
        <v>1298-1-6-13-35-3-3-25</v>
      </c>
      <c r="B54" s="2" t="s">
        <v>54</v>
      </c>
      <c r="C54" s="4" t="s">
        <v>136</v>
      </c>
      <c r="D54" t="s">
        <v>134</v>
      </c>
      <c r="E54" t="s">
        <v>109</v>
      </c>
      <c r="F54" s="4" t="s">
        <v>399</v>
      </c>
      <c r="G54" s="4" t="s">
        <v>402</v>
      </c>
      <c r="H54">
        <v>2024</v>
      </c>
      <c r="I54">
        <v>67</v>
      </c>
      <c r="K54" t="s">
        <v>77</v>
      </c>
    </row>
    <row r="55" spans="1:11" x14ac:dyDescent="0.25">
      <c r="A55" t="str">
        <f>_xlfn.CONCAT(VLOOKUP(B55,Indicateurs!$A:$B,2,0),"-",VLOOKUP(C55,Zones!$A:$B,2,0),"-",_xlfn.CONCAT(IF(K55&lt;&gt;"",VLOOKUP(K55,Desagregations!$A:$B,2,0),""),IF(L55&lt;&gt;"","_",""),IF(L55&lt;&gt;"",VLOOKUP(L55,Desagregations!$A:$B,2,0),""),IF(M55&lt;&gt;"","_",""),IF(M55&lt;&gt;"",VLOOKUP(M55,Desagregations!$A:$B,2,0),""),IF(N55&lt;&gt;"","_",""),IF(N55&lt;&gt;"",VLOOKUP(N55,Desagregations!$A:$B,2,0),""),IF(O55&lt;&gt;"","_",""),IF(O55&lt;&gt;"",VLOOKUP(O55,Desagregations!$A:$B,2,0),""),IF(P55&lt;&gt;"","_",""),IF(P55&lt;&gt;"",VLOOKUP(P55,Desagregations!$A:$B,2,0),"")),"-",VLOOKUP(D55,Unites!$A:$B,2,0),"-",VLOOKUP(E55,Sources!$A:$B,2,0),"-",VLOOKUP(F55,CommentaireValeurIndicateurs!$A:$B,2,0),"-",VLOOKUP(G55,NatureDonnees!$A:$B,2,0),"-",VLOOKUP(H55,Periodes!$A:$B,2,0))</f>
        <v>1299-1-6-8-36-3-3-25</v>
      </c>
      <c r="B55" s="2" t="s">
        <v>55</v>
      </c>
      <c r="C55" s="4" t="s">
        <v>136</v>
      </c>
      <c r="D55" t="s">
        <v>129</v>
      </c>
      <c r="E55" t="s">
        <v>110</v>
      </c>
      <c r="F55" s="4" t="s">
        <v>399</v>
      </c>
      <c r="G55" s="4" t="s">
        <v>402</v>
      </c>
      <c r="H55">
        <v>2024</v>
      </c>
      <c r="I55">
        <v>2.2999999999999998</v>
      </c>
      <c r="K55" t="s">
        <v>77</v>
      </c>
    </row>
    <row r="56" spans="1:11" x14ac:dyDescent="0.25">
      <c r="A56" t="str">
        <f>_xlfn.CONCAT(VLOOKUP(B56,Indicateurs!$A:$B,2,0),"-",VLOOKUP(C56,Zones!$A:$B,2,0),"-",_xlfn.CONCAT(IF(K56&lt;&gt;"",VLOOKUP(K56,Desagregations!$A:$B,2,0),""),IF(L56&lt;&gt;"","_",""),IF(L56&lt;&gt;"",VLOOKUP(L56,Desagregations!$A:$B,2,0),""),IF(M56&lt;&gt;"","_",""),IF(M56&lt;&gt;"",VLOOKUP(M56,Desagregations!$A:$B,2,0),""),IF(N56&lt;&gt;"","_",""),IF(N56&lt;&gt;"",VLOOKUP(N56,Desagregations!$A:$B,2,0),""),IF(O56&lt;&gt;"","_",""),IF(O56&lt;&gt;"",VLOOKUP(O56,Desagregations!$A:$B,2,0),""),IF(P56&lt;&gt;"","_",""),IF(P56&lt;&gt;"",VLOOKUP(P56,Desagregations!$A:$B,2,0),"")),"-",VLOOKUP(D56,Unites!$A:$B,2,0),"-",VLOOKUP(E56,Sources!$A:$B,2,0),"-",VLOOKUP(F56,CommentaireValeurIndicateurs!$A:$B,2,0),"-",VLOOKUP(G56,NatureDonnees!$A:$B,2,0),"-",VLOOKUP(H56,Periodes!$A:$B,2,0))</f>
        <v>1300-1-6-4-25-3-3-25</v>
      </c>
      <c r="B56" s="2" t="s">
        <v>56</v>
      </c>
      <c r="C56" s="4" t="s">
        <v>136</v>
      </c>
      <c r="D56" t="s">
        <v>125</v>
      </c>
      <c r="E56" t="s">
        <v>99</v>
      </c>
      <c r="F56" s="4" t="s">
        <v>399</v>
      </c>
      <c r="G56" s="4" t="s">
        <v>402</v>
      </c>
      <c r="H56">
        <v>2024</v>
      </c>
      <c r="I56">
        <v>20</v>
      </c>
      <c r="K56" t="s">
        <v>77</v>
      </c>
    </row>
    <row r="57" spans="1:11" x14ac:dyDescent="0.25">
      <c r="A57" t="e">
        <f>_xlfn.CONCAT(VLOOKUP(B57,Indicateurs!$A:$B,2,0),"-",VLOOKUP(C57,Zones!$A:$B,2,0),"-",_xlfn.CONCAT(IF(K57&lt;&gt;"",VLOOKUP(K57,Desagregations!$A:$B,2,0),""),IF(L57&lt;&gt;"","_",""),IF(L57&lt;&gt;"",VLOOKUP(L57,Desagregations!$A:$B,2,0),""),IF(M57&lt;&gt;"","_",""),IF(M57&lt;&gt;"",VLOOKUP(M57,Desagregations!$A:$B,2,0),""),IF(N57&lt;&gt;"","_",""),IF(N57&lt;&gt;"",VLOOKUP(N57,Desagregations!$A:$B,2,0),""),IF(O57&lt;&gt;"","_",""),IF(O57&lt;&gt;"",VLOOKUP(O57,Desagregations!$A:$B,2,0),""),IF(P57&lt;&gt;"","_",""),IF(P57&lt;&gt;"",VLOOKUP(P57,Desagregations!$A:$B,2,0),"")),"-",VLOOKUP(D57,Unites!$A:$B,2,0),"-",VLOOKUP(E57,Sources!$A:$B,2,0),"-",VLOOKUP(F57,CommentaireValeurIndicateurs!$A:$B,2,0),"-",VLOOKUP(G57,NatureDonnees!$A:$B,2,0),"-",VLOOKUP(H57,Periodes!$A:$B,2,0))</f>
        <v>#N/A</v>
      </c>
      <c r="B57" s="5" t="s">
        <v>57</v>
      </c>
      <c r="C57" s="4" t="s">
        <v>136</v>
      </c>
      <c r="D57" t="s">
        <v>125</v>
      </c>
      <c r="E57" t="s">
        <v>112</v>
      </c>
      <c r="F57" s="4" t="s">
        <v>399</v>
      </c>
      <c r="G57" s="4" t="s">
        <v>402</v>
      </c>
      <c r="H57" s="6"/>
      <c r="I57" s="6"/>
      <c r="K57" t="s">
        <v>77</v>
      </c>
    </row>
    <row r="58" spans="1:11" x14ac:dyDescent="0.25">
      <c r="A58" t="e">
        <f>_xlfn.CONCAT(VLOOKUP(B58,Indicateurs!$A:$B,2,0),"-",VLOOKUP(C58,Zones!$A:$B,2,0),"-",_xlfn.CONCAT(IF(K58&lt;&gt;"",VLOOKUP(K58,Desagregations!$A:$B,2,0),""),IF(L58&lt;&gt;"","_",""),IF(L58&lt;&gt;"",VLOOKUP(L58,Desagregations!$A:$B,2,0),""),IF(M58&lt;&gt;"","_",""),IF(M58&lt;&gt;"",VLOOKUP(M58,Desagregations!$A:$B,2,0),""),IF(N58&lt;&gt;"","_",""),IF(N58&lt;&gt;"",VLOOKUP(N58,Desagregations!$A:$B,2,0),""),IF(O58&lt;&gt;"","_",""),IF(O58&lt;&gt;"",VLOOKUP(O58,Desagregations!$A:$B,2,0),""),IF(P58&lt;&gt;"","_",""),IF(P58&lt;&gt;"",VLOOKUP(P58,Desagregations!$A:$B,2,0),"")),"-",VLOOKUP(D58,Unites!$A:$B,2,0),"-",VLOOKUP(E58,Sources!$A:$B,2,0),"-",VLOOKUP(F58,CommentaireValeurIndicateurs!$A:$B,2,0),"-",VLOOKUP(G58,NatureDonnees!$A:$B,2,0),"-",VLOOKUP(H58,Periodes!$A:$B,2,0))</f>
        <v>#N/A</v>
      </c>
      <c r="B58" s="5" t="s">
        <v>58</v>
      </c>
      <c r="C58" s="4" t="s">
        <v>136</v>
      </c>
      <c r="D58" t="s">
        <v>125</v>
      </c>
      <c r="E58" t="s">
        <v>113</v>
      </c>
      <c r="F58" s="4" t="s">
        <v>399</v>
      </c>
      <c r="G58" s="4" t="s">
        <v>402</v>
      </c>
      <c r="H58" s="6"/>
      <c r="I58" s="6"/>
      <c r="K58" t="s">
        <v>77</v>
      </c>
    </row>
    <row r="59" spans="1:11" x14ac:dyDescent="0.25">
      <c r="A59" t="str">
        <f>_xlfn.CONCAT(VLOOKUP(B59,Indicateurs!$A:$B,2,0),"-",VLOOKUP(C59,Zones!$A:$B,2,0),"-",_xlfn.CONCAT(IF(K59&lt;&gt;"",VLOOKUP(K59,Desagregations!$A:$B,2,0),""),IF(L59&lt;&gt;"","_",""),IF(L59&lt;&gt;"",VLOOKUP(L59,Desagregations!$A:$B,2,0),""),IF(M59&lt;&gt;"","_",""),IF(M59&lt;&gt;"",VLOOKUP(M59,Desagregations!$A:$B,2,0),""),IF(N59&lt;&gt;"","_",""),IF(N59&lt;&gt;"",VLOOKUP(N59,Desagregations!$A:$B,2,0),""),IF(O59&lt;&gt;"","_",""),IF(O59&lt;&gt;"",VLOOKUP(O59,Desagregations!$A:$B,2,0),""),IF(P59&lt;&gt;"","_",""),IF(P59&lt;&gt;"",VLOOKUP(P59,Desagregations!$A:$B,2,0),"")),"-",VLOOKUP(D59,Unites!$A:$B,2,0),"-",VLOOKUP(E59,Sources!$A:$B,2,0),"-",VLOOKUP(F59,CommentaireValeurIndicateurs!$A:$B,2,0),"-",VLOOKUP(G59,NatureDonnees!$A:$B,2,0),"-",VLOOKUP(H59,Periodes!$A:$B,2,0))</f>
        <v>1303-1-6-4-40-3-3-25</v>
      </c>
      <c r="B59" s="2" t="s">
        <v>59</v>
      </c>
      <c r="C59" s="4" t="s">
        <v>136</v>
      </c>
      <c r="D59" t="s">
        <v>125</v>
      </c>
      <c r="E59" t="s">
        <v>114</v>
      </c>
      <c r="F59" s="4" t="s">
        <v>399</v>
      </c>
      <c r="G59" s="4" t="s">
        <v>402</v>
      </c>
      <c r="H59">
        <v>2024</v>
      </c>
      <c r="I59">
        <v>56.59</v>
      </c>
      <c r="K59" t="s">
        <v>77</v>
      </c>
    </row>
    <row r="60" spans="1:11" x14ac:dyDescent="0.25">
      <c r="A60" t="str">
        <f>_xlfn.CONCAT(VLOOKUP(B60,Indicateurs!$A:$B,2,0),"-",VLOOKUP(C60,Zones!$A:$B,2,0),"-",_xlfn.CONCAT(IF(K60&lt;&gt;"",VLOOKUP(K60,Desagregations!$A:$B,2,0),""),IF(L60&lt;&gt;"","_",""),IF(L60&lt;&gt;"",VLOOKUP(L60,Desagregations!$A:$B,2,0),""),IF(M60&lt;&gt;"","_",""),IF(M60&lt;&gt;"",VLOOKUP(M60,Desagregations!$A:$B,2,0),""),IF(N60&lt;&gt;"","_",""),IF(N60&lt;&gt;"",VLOOKUP(N60,Desagregations!$A:$B,2,0),""),IF(O60&lt;&gt;"","_",""),IF(O60&lt;&gt;"",VLOOKUP(O60,Desagregations!$A:$B,2,0),""),IF(P60&lt;&gt;"","_",""),IF(P60&lt;&gt;"",VLOOKUP(P60,Desagregations!$A:$B,2,0),"")),"-",VLOOKUP(D60,Unites!$A:$B,2,0),"-",VLOOKUP(E60,Sources!$A:$B,2,0),"-",VLOOKUP(F60,CommentaireValeurIndicateurs!$A:$B,2,0),"-",VLOOKUP(G60,NatureDonnees!$A:$B,2,0),"-",VLOOKUP(H60,Periodes!$A:$B,2,0))</f>
        <v>1304-1-6-4-41-3-3-25</v>
      </c>
      <c r="B60" s="2" t="s">
        <v>60</v>
      </c>
      <c r="C60" s="4" t="s">
        <v>136</v>
      </c>
      <c r="D60" t="s">
        <v>125</v>
      </c>
      <c r="E60" t="s">
        <v>115</v>
      </c>
      <c r="F60" s="4" t="s">
        <v>399</v>
      </c>
      <c r="G60" s="4" t="s">
        <v>402</v>
      </c>
      <c r="H60">
        <v>2024</v>
      </c>
      <c r="I60">
        <v>47.42</v>
      </c>
      <c r="K60" t="s">
        <v>77</v>
      </c>
    </row>
    <row r="61" spans="1:11" x14ac:dyDescent="0.25">
      <c r="A61" t="str">
        <f>_xlfn.CONCAT(VLOOKUP(B61,Indicateurs!$A:$B,2,0),"-",VLOOKUP(C61,Zones!$A:$B,2,0),"-",_xlfn.CONCAT(IF(K61&lt;&gt;"",VLOOKUP(K61,Desagregations!$A:$B,2,0),""),IF(L61&lt;&gt;"","_",""),IF(L61&lt;&gt;"",VLOOKUP(L61,Desagregations!$A:$B,2,0),""),IF(M61&lt;&gt;"","_",""),IF(M61&lt;&gt;"",VLOOKUP(M61,Desagregations!$A:$B,2,0),""),IF(N61&lt;&gt;"","_",""),IF(N61&lt;&gt;"",VLOOKUP(N61,Desagregations!$A:$B,2,0),""),IF(O61&lt;&gt;"","_",""),IF(O61&lt;&gt;"",VLOOKUP(O61,Desagregations!$A:$B,2,0),""),IF(P61&lt;&gt;"","_",""),IF(P61&lt;&gt;"",VLOOKUP(P61,Desagregations!$A:$B,2,0),"")),"-",VLOOKUP(D61,Unites!$A:$B,2,0),"-",VLOOKUP(E61,Sources!$A:$B,2,0),"-",VLOOKUP(F61,CommentaireValeurIndicateurs!$A:$B,2,0),"-",VLOOKUP(G61,NatureDonnees!$A:$B,2,0),"-",VLOOKUP(H61,Periodes!$A:$B,2,0))</f>
        <v>1305-1-6-4-42-3-3-25</v>
      </c>
      <c r="B61" s="2" t="s">
        <v>61</v>
      </c>
      <c r="C61" s="4" t="s">
        <v>136</v>
      </c>
      <c r="D61" t="s">
        <v>125</v>
      </c>
      <c r="E61" t="s">
        <v>116</v>
      </c>
      <c r="F61" s="4" t="s">
        <v>399</v>
      </c>
      <c r="G61" s="4" t="s">
        <v>402</v>
      </c>
      <c r="H61">
        <v>2024</v>
      </c>
      <c r="I61">
        <v>22.48</v>
      </c>
      <c r="K61" t="s">
        <v>77</v>
      </c>
    </row>
    <row r="62" spans="1:11" x14ac:dyDescent="0.25">
      <c r="A62" t="str">
        <f>_xlfn.CONCAT(VLOOKUP(B62,Indicateurs!$A:$B,2,0),"-",VLOOKUP(C62,Zones!$A:$B,2,0),"-",_xlfn.CONCAT(IF(K62&lt;&gt;"",VLOOKUP(K62,Desagregations!$A:$B,2,0),""),IF(L62&lt;&gt;"","_",""),IF(L62&lt;&gt;"",VLOOKUP(L62,Desagregations!$A:$B,2,0),""),IF(M62&lt;&gt;"","_",""),IF(M62&lt;&gt;"",VLOOKUP(M62,Desagregations!$A:$B,2,0),""),IF(N62&lt;&gt;"","_",""),IF(N62&lt;&gt;"",VLOOKUP(N62,Desagregations!$A:$B,2,0),""),IF(O62&lt;&gt;"","_",""),IF(O62&lt;&gt;"",VLOOKUP(O62,Desagregations!$A:$B,2,0),""),IF(P62&lt;&gt;"","_",""),IF(P62&lt;&gt;"",VLOOKUP(P62,Desagregations!$A:$B,2,0),"")),"-",VLOOKUP(D62,Unites!$A:$B,2,0),"-",VLOOKUP(E62,Sources!$A:$B,2,0),"-",VLOOKUP(F62,CommentaireValeurIndicateurs!$A:$B,2,0),"-",VLOOKUP(G62,NatureDonnees!$A:$B,2,0),"-",VLOOKUP(H62,Periodes!$A:$B,2,0))</f>
        <v>1306-1-6-4-43-3-3-23</v>
      </c>
      <c r="B62" s="2" t="s">
        <v>62</v>
      </c>
      <c r="C62" s="4" t="s">
        <v>136</v>
      </c>
      <c r="D62" t="s">
        <v>125</v>
      </c>
      <c r="E62" t="s">
        <v>117</v>
      </c>
      <c r="F62" s="4" t="s">
        <v>399</v>
      </c>
      <c r="G62" s="4" t="s">
        <v>402</v>
      </c>
      <c r="H62">
        <v>2022</v>
      </c>
      <c r="I62">
        <v>12.2</v>
      </c>
      <c r="K62" t="s">
        <v>77</v>
      </c>
    </row>
    <row r="63" spans="1:11" x14ac:dyDescent="0.25">
      <c r="A63" t="str">
        <f>_xlfn.CONCAT(VLOOKUP(B63,Indicateurs!$A:$B,2,0),"-",VLOOKUP(C63,Zones!$A:$B,2,0),"-",_xlfn.CONCAT(IF(K63&lt;&gt;"",VLOOKUP(K63,Desagregations!$A:$B,2,0),""),IF(L63&lt;&gt;"","_",""),IF(L63&lt;&gt;"",VLOOKUP(L63,Desagregations!$A:$B,2,0),""),IF(M63&lt;&gt;"","_",""),IF(M63&lt;&gt;"",VLOOKUP(M63,Desagregations!$A:$B,2,0),""),IF(N63&lt;&gt;"","_",""),IF(N63&lt;&gt;"",VLOOKUP(N63,Desagregations!$A:$B,2,0),""),IF(O63&lt;&gt;"","_",""),IF(O63&lt;&gt;"",VLOOKUP(O63,Desagregations!$A:$B,2,0),""),IF(P63&lt;&gt;"","_",""),IF(P63&lt;&gt;"",VLOOKUP(P63,Desagregations!$A:$B,2,0),"")),"-",VLOOKUP(D63,Unites!$A:$B,2,0),"-",VLOOKUP(E63,Sources!$A:$B,2,0),"-",VLOOKUP(F63,CommentaireValeurIndicateurs!$A:$B,2,0),"-",VLOOKUP(G63,NatureDonnees!$A:$B,2,0),"-",VLOOKUP(H63,Periodes!$A:$B,2,0))</f>
        <v>1307-1-6-4-44-3-3-19</v>
      </c>
      <c r="B63" s="2" t="s">
        <v>63</v>
      </c>
      <c r="C63" s="4" t="s">
        <v>136</v>
      </c>
      <c r="D63" t="s">
        <v>125</v>
      </c>
      <c r="E63" t="s">
        <v>118</v>
      </c>
      <c r="F63" s="4" t="s">
        <v>399</v>
      </c>
      <c r="G63" s="4" t="s">
        <v>402</v>
      </c>
      <c r="H63">
        <v>2018</v>
      </c>
      <c r="I63">
        <v>30</v>
      </c>
      <c r="K63" t="s">
        <v>77</v>
      </c>
    </row>
    <row r="64" spans="1:11" x14ac:dyDescent="0.25">
      <c r="A64" t="str">
        <f>_xlfn.CONCAT(VLOOKUP(B64,Indicateurs!$A:$B,2,0),"-",VLOOKUP(C64,Zones!$A:$B,2,0),"-",_xlfn.CONCAT(IF(K64&lt;&gt;"",VLOOKUP(K64,Desagregations!$A:$B,2,0),""),IF(L64&lt;&gt;"","_",""),IF(L64&lt;&gt;"",VLOOKUP(L64,Desagregations!$A:$B,2,0),""),IF(M64&lt;&gt;"","_",""),IF(M64&lt;&gt;"",VLOOKUP(M64,Desagregations!$A:$B,2,0),""),IF(N64&lt;&gt;"","_",""),IF(N64&lt;&gt;"",VLOOKUP(N64,Desagregations!$A:$B,2,0),""),IF(O64&lt;&gt;"","_",""),IF(O64&lt;&gt;"",VLOOKUP(O64,Desagregations!$A:$B,2,0),""),IF(P64&lt;&gt;"","_",""),IF(P64&lt;&gt;"",VLOOKUP(P64,Desagregations!$A:$B,2,0),"")),"-",VLOOKUP(D64,Unites!$A:$B,2,0),"-",VLOOKUP(E64,Sources!$A:$B,2,0),"-",VLOOKUP(F64,CommentaireValeurIndicateurs!$A:$B,2,0),"-",VLOOKUP(G64,NatureDonnees!$A:$B,2,0),"-",VLOOKUP(H64,Periodes!$A:$B,2,0))</f>
        <v>1308-1-6-4-4-3-3-22</v>
      </c>
      <c r="B64" s="2" t="s">
        <v>64</v>
      </c>
      <c r="C64" s="4" t="s">
        <v>136</v>
      </c>
      <c r="D64" t="s">
        <v>125</v>
      </c>
      <c r="E64" t="s">
        <v>78</v>
      </c>
      <c r="F64" s="4" t="s">
        <v>399</v>
      </c>
      <c r="G64" s="4" t="s">
        <v>402</v>
      </c>
      <c r="H64">
        <v>2021</v>
      </c>
      <c r="I64">
        <v>52.6</v>
      </c>
      <c r="K64" t="s">
        <v>77</v>
      </c>
    </row>
    <row r="65" spans="1:11" x14ac:dyDescent="0.25">
      <c r="A65" t="str">
        <f>_xlfn.CONCAT(VLOOKUP(B65,Indicateurs!$A:$B,2,0),"-",VLOOKUP(C65,Zones!$A:$B,2,0),"-",_xlfn.CONCAT(IF(K65&lt;&gt;"",VLOOKUP(K65,Desagregations!$A:$B,2,0),""),IF(L65&lt;&gt;"","_",""),IF(L65&lt;&gt;"",VLOOKUP(L65,Desagregations!$A:$B,2,0),""),IF(M65&lt;&gt;"","_",""),IF(M65&lt;&gt;"",VLOOKUP(M65,Desagregations!$A:$B,2,0),""),IF(N65&lt;&gt;"","_",""),IF(N65&lt;&gt;"",VLOOKUP(N65,Desagregations!$A:$B,2,0),""),IF(O65&lt;&gt;"","_",""),IF(O65&lt;&gt;"",VLOOKUP(O65,Desagregations!$A:$B,2,0),""),IF(P65&lt;&gt;"","_",""),IF(P65&lt;&gt;"",VLOOKUP(P65,Desagregations!$A:$B,2,0),"")),"-",VLOOKUP(D65,Unites!$A:$B,2,0),"-",VLOOKUP(E65,Sources!$A:$B,2,0),"-",VLOOKUP(F65,CommentaireValeurIndicateurs!$A:$B,2,0),"-",VLOOKUP(G65,NatureDonnees!$A:$B,2,0),"-",VLOOKUP(H65,Periodes!$A:$B,2,0))</f>
        <v>1309-1-6-4-45-3-3-23</v>
      </c>
      <c r="B65" s="2" t="s">
        <v>65</v>
      </c>
      <c r="C65" s="4" t="s">
        <v>136</v>
      </c>
      <c r="D65" t="s">
        <v>125</v>
      </c>
      <c r="E65" t="s">
        <v>119</v>
      </c>
      <c r="F65" s="4" t="s">
        <v>399</v>
      </c>
      <c r="G65" s="4" t="s">
        <v>402</v>
      </c>
      <c r="H65">
        <v>2022</v>
      </c>
      <c r="I65">
        <v>19.5</v>
      </c>
      <c r="K65" t="s">
        <v>77</v>
      </c>
    </row>
    <row r="66" spans="1:11" x14ac:dyDescent="0.25">
      <c r="A66" t="str">
        <f>_xlfn.CONCAT(VLOOKUP(B66,Indicateurs!$A:$B,2,0),"-",VLOOKUP(C66,Zones!$A:$B,2,0),"-",_xlfn.CONCAT(IF(K66&lt;&gt;"",VLOOKUP(K66,Desagregations!$A:$B,2,0),""),IF(L66&lt;&gt;"","_",""),IF(L66&lt;&gt;"",VLOOKUP(L66,Desagregations!$A:$B,2,0),""),IF(M66&lt;&gt;"","_",""),IF(M66&lt;&gt;"",VLOOKUP(M66,Desagregations!$A:$B,2,0),""),IF(N66&lt;&gt;"","_",""),IF(N66&lt;&gt;"",VLOOKUP(N66,Desagregations!$A:$B,2,0),""),IF(O66&lt;&gt;"","_",""),IF(O66&lt;&gt;"",VLOOKUP(O66,Desagregations!$A:$B,2,0),""),IF(P66&lt;&gt;"","_",""),IF(P66&lt;&gt;"",VLOOKUP(P66,Desagregations!$A:$B,2,0),"")),"-",VLOOKUP(D66,Unites!$A:$B,2,0),"-",VLOOKUP(E66,Sources!$A:$B,2,0),"-",VLOOKUP(F66,CommentaireValeurIndicateurs!$A:$B,2,0),"-",VLOOKUP(G66,NatureDonnees!$A:$B,2,0),"-",VLOOKUP(H66,Periodes!$A:$B,2,0))</f>
        <v>1310-1-6-4-4-3-3-22</v>
      </c>
      <c r="B66" s="2" t="s">
        <v>66</v>
      </c>
      <c r="C66" s="4" t="s">
        <v>136</v>
      </c>
      <c r="D66" t="s">
        <v>125</v>
      </c>
      <c r="E66" t="s">
        <v>78</v>
      </c>
      <c r="F66" s="4" t="s">
        <v>399</v>
      </c>
      <c r="G66" s="4" t="s">
        <v>402</v>
      </c>
      <c r="H66">
        <v>2021</v>
      </c>
      <c r="I66">
        <v>10.1</v>
      </c>
      <c r="K66" t="s">
        <v>77</v>
      </c>
    </row>
    <row r="67" spans="1:11" x14ac:dyDescent="0.25">
      <c r="A67" t="str">
        <f>_xlfn.CONCAT(VLOOKUP(B67,Indicateurs!$A:$B,2,0),"-",VLOOKUP(C67,Zones!$A:$B,2,0),"-",_xlfn.CONCAT(IF(K67&lt;&gt;"",VLOOKUP(K67,Desagregations!$A:$B,2,0),""),IF(L67&lt;&gt;"","_",""),IF(L67&lt;&gt;"",VLOOKUP(L67,Desagregations!$A:$B,2,0),""),IF(M67&lt;&gt;"","_",""),IF(M67&lt;&gt;"",VLOOKUP(M67,Desagregations!$A:$B,2,0),""),IF(N67&lt;&gt;"","_",""),IF(N67&lt;&gt;"",VLOOKUP(N67,Desagregations!$A:$B,2,0),""),IF(O67&lt;&gt;"","_",""),IF(O67&lt;&gt;"",VLOOKUP(O67,Desagregations!$A:$B,2,0),""),IF(P67&lt;&gt;"","_",""),IF(P67&lt;&gt;"",VLOOKUP(P67,Desagregations!$A:$B,2,0),"")),"-",VLOOKUP(D67,Unites!$A:$B,2,0),"-",VLOOKUP(E67,Sources!$A:$B,2,0),"-",VLOOKUP(F67,CommentaireValeurIndicateurs!$A:$B,2,0),"-",VLOOKUP(G67,NatureDonnees!$A:$B,2,0),"-",VLOOKUP(H67,Periodes!$A:$B,2,0))</f>
        <v>1311-1-6-4-46-3-3-25</v>
      </c>
      <c r="B67" s="2" t="s">
        <v>67</v>
      </c>
      <c r="C67" s="4" t="s">
        <v>136</v>
      </c>
      <c r="D67" t="s">
        <v>125</v>
      </c>
      <c r="E67" t="s">
        <v>120</v>
      </c>
      <c r="F67" s="4" t="s">
        <v>399</v>
      </c>
      <c r="G67" s="4" t="s">
        <v>402</v>
      </c>
      <c r="H67">
        <v>2024</v>
      </c>
      <c r="I67">
        <v>74.2</v>
      </c>
      <c r="K67" t="s">
        <v>77</v>
      </c>
    </row>
    <row r="68" spans="1:11" x14ac:dyDescent="0.25">
      <c r="A68" t="str">
        <f>_xlfn.CONCAT(VLOOKUP(B68,Indicateurs!$A:$B,2,0),"-",VLOOKUP(C68,Zones!$A:$B,2,0),"-",_xlfn.CONCAT(IF(K68&lt;&gt;"",VLOOKUP(K68,Desagregations!$A:$B,2,0),""),IF(L68&lt;&gt;"","_",""),IF(L68&lt;&gt;"",VLOOKUP(L68,Desagregations!$A:$B,2,0),""),IF(M68&lt;&gt;"","_",""),IF(M68&lt;&gt;"",VLOOKUP(M68,Desagregations!$A:$B,2,0),""),IF(N68&lt;&gt;"","_",""),IF(N68&lt;&gt;"",VLOOKUP(N68,Desagregations!$A:$B,2,0),""),IF(O68&lt;&gt;"","_",""),IF(O68&lt;&gt;"",VLOOKUP(O68,Desagregations!$A:$B,2,0),""),IF(P68&lt;&gt;"","_",""),IF(P68&lt;&gt;"",VLOOKUP(P68,Desagregations!$A:$B,2,0),"")),"-",VLOOKUP(D68,Unites!$A:$B,2,0),"-",VLOOKUP(E68,Sources!$A:$B,2,0),"-",VLOOKUP(F68,CommentaireValeurIndicateurs!$A:$B,2,0),"-",VLOOKUP(G68,NatureDonnees!$A:$B,2,0),"-",VLOOKUP(H68,Periodes!$A:$B,2,0))</f>
        <v>1312-1-6-4-46-3-3-25</v>
      </c>
      <c r="B68" s="2" t="s">
        <v>68</v>
      </c>
      <c r="C68" s="4" t="s">
        <v>136</v>
      </c>
      <c r="D68" t="s">
        <v>125</v>
      </c>
      <c r="E68" t="s">
        <v>120</v>
      </c>
      <c r="F68" s="4" t="s">
        <v>399</v>
      </c>
      <c r="G68" s="4" t="s">
        <v>402</v>
      </c>
      <c r="H68">
        <v>2024</v>
      </c>
      <c r="I68">
        <v>49.69</v>
      </c>
      <c r="K68" t="s">
        <v>77</v>
      </c>
    </row>
    <row r="69" spans="1:11" x14ac:dyDescent="0.25">
      <c r="A69" t="str">
        <f>_xlfn.CONCAT(VLOOKUP(B69,Indicateurs!$A:$B,2,0),"-",VLOOKUP(C69,Zones!$A:$B,2,0),"-",_xlfn.CONCAT(IF(K69&lt;&gt;"",VLOOKUP(K69,Desagregations!$A:$B,2,0),""),IF(L69&lt;&gt;"","_",""),IF(L69&lt;&gt;"",VLOOKUP(L69,Desagregations!$A:$B,2,0),""),IF(M69&lt;&gt;"","_",""),IF(M69&lt;&gt;"",VLOOKUP(M69,Desagregations!$A:$B,2,0),""),IF(N69&lt;&gt;"","_",""),IF(N69&lt;&gt;"",VLOOKUP(N69,Desagregations!$A:$B,2,0),""),IF(O69&lt;&gt;"","_",""),IF(O69&lt;&gt;"",VLOOKUP(O69,Desagregations!$A:$B,2,0),""),IF(P69&lt;&gt;"","_",""),IF(P69&lt;&gt;"",VLOOKUP(P69,Desagregations!$A:$B,2,0),"")),"-",VLOOKUP(D69,Unites!$A:$B,2,0),"-",VLOOKUP(E69,Sources!$A:$B,2,0),"-",VLOOKUP(F69,CommentaireValeurIndicateurs!$A:$B,2,0),"-",VLOOKUP(G69,NatureDonnees!$A:$B,2,0),"-",VLOOKUP(H69,Periodes!$A:$B,2,0))</f>
        <v>1313-1-6-4-47-3-3-25</v>
      </c>
      <c r="B69" s="2" t="s">
        <v>69</v>
      </c>
      <c r="C69" s="4" t="s">
        <v>136</v>
      </c>
      <c r="D69" t="s">
        <v>125</v>
      </c>
      <c r="E69" t="s">
        <v>121</v>
      </c>
      <c r="F69" s="4" t="s">
        <v>399</v>
      </c>
      <c r="G69" s="4" t="s">
        <v>402</v>
      </c>
      <c r="H69">
        <v>2024</v>
      </c>
      <c r="I69">
        <v>4</v>
      </c>
      <c r="K69" t="s">
        <v>77</v>
      </c>
    </row>
    <row r="70" spans="1:11" x14ac:dyDescent="0.25">
      <c r="A70" t="str">
        <f>_xlfn.CONCAT(VLOOKUP(B70,Indicateurs!$A:$B,2,0),"-",VLOOKUP(C70,Zones!$A:$B,2,0),"-",_xlfn.CONCAT(IF(K70&lt;&gt;"",VLOOKUP(K70,Desagregations!$A:$B,2,0),""),IF(L70&lt;&gt;"","_",""),IF(L70&lt;&gt;"",VLOOKUP(L70,Desagregations!$A:$B,2,0),""),IF(M70&lt;&gt;"","_",""),IF(M70&lt;&gt;"",VLOOKUP(M70,Desagregations!$A:$B,2,0),""),IF(N70&lt;&gt;"","_",""),IF(N70&lt;&gt;"",VLOOKUP(N70,Desagregations!$A:$B,2,0),""),IF(O70&lt;&gt;"","_",""),IF(O70&lt;&gt;"",VLOOKUP(O70,Desagregations!$A:$B,2,0),""),IF(P70&lt;&gt;"","_",""),IF(P70&lt;&gt;"",VLOOKUP(P70,Desagregations!$A:$B,2,0),"")),"-",VLOOKUP(D70,Unites!$A:$B,2,0),"-",VLOOKUP(E70,Sources!$A:$B,2,0),"-",VLOOKUP(F70,CommentaireValeurIndicateurs!$A:$B,2,0),"-",VLOOKUP(G70,NatureDonnees!$A:$B,2,0),"-",VLOOKUP(H70,Periodes!$A:$B,2,0))</f>
        <v>1314-1-6-4-48-3-3-21</v>
      </c>
      <c r="B70" s="2" t="s">
        <v>70</v>
      </c>
      <c r="C70" s="4" t="s">
        <v>136</v>
      </c>
      <c r="D70" t="s">
        <v>125</v>
      </c>
      <c r="E70" t="s">
        <v>122</v>
      </c>
      <c r="F70" s="4" t="s">
        <v>399</v>
      </c>
      <c r="G70" s="4" t="s">
        <v>402</v>
      </c>
      <c r="H70">
        <v>2020</v>
      </c>
      <c r="I70">
        <v>0</v>
      </c>
      <c r="K70" t="s">
        <v>77</v>
      </c>
    </row>
    <row r="71" spans="1:11" x14ac:dyDescent="0.25">
      <c r="A71" t="str">
        <f>_xlfn.CONCAT(VLOOKUP(B71,Indicateurs!$A:$B,2,0),"-",VLOOKUP(C71,Zones!$A:$B,2,0),"-",_xlfn.CONCAT(IF(K71&lt;&gt;"",VLOOKUP(K71,Desagregations!$A:$B,2,0),""),IF(L71&lt;&gt;"","_",""),IF(L71&lt;&gt;"",VLOOKUP(L71,Desagregations!$A:$B,2,0),""),IF(M71&lt;&gt;"","_",""),IF(M71&lt;&gt;"",VLOOKUP(M71,Desagregations!$A:$B,2,0),""),IF(N71&lt;&gt;"","_",""),IF(N71&lt;&gt;"",VLOOKUP(N71,Desagregations!$A:$B,2,0),""),IF(O71&lt;&gt;"","_",""),IF(O71&lt;&gt;"",VLOOKUP(O71,Desagregations!$A:$B,2,0),""),IF(P71&lt;&gt;"","_",""),IF(P71&lt;&gt;"",VLOOKUP(P71,Desagregations!$A:$B,2,0),"")),"-",VLOOKUP(D71,Unites!$A:$B,2,0),"-",VLOOKUP(E71,Sources!$A:$B,2,0),"-",VLOOKUP(F71,CommentaireValeurIndicateurs!$A:$B,2,0),"-",VLOOKUP(G71,NatureDonnees!$A:$B,2,0),"-",VLOOKUP(H71,Periodes!$A:$B,2,0))</f>
        <v>1315-1-6-4-49-3-3-23</v>
      </c>
      <c r="B71" s="2" t="s">
        <v>71</v>
      </c>
      <c r="C71" s="4" t="s">
        <v>136</v>
      </c>
      <c r="D71" t="s">
        <v>125</v>
      </c>
      <c r="E71" t="s">
        <v>123</v>
      </c>
      <c r="F71" s="4" t="s">
        <v>399</v>
      </c>
      <c r="G71" s="4" t="s">
        <v>402</v>
      </c>
      <c r="H71">
        <v>2022</v>
      </c>
      <c r="I71">
        <v>43.9</v>
      </c>
      <c r="K71" t="s">
        <v>77</v>
      </c>
    </row>
    <row r="72" spans="1:11" x14ac:dyDescent="0.25">
      <c r="A72" t="str">
        <f>_xlfn.CONCAT(VLOOKUP(B72,Indicateurs!$A:$B,2,0),"-",VLOOKUP(C72,Zones!$A:$B,2,0),"-",_xlfn.CONCAT(IF(K72&lt;&gt;"",VLOOKUP(K72,Desagregations!$A:$B,2,0),""),IF(L72&lt;&gt;"","_",""),IF(L72&lt;&gt;"",VLOOKUP(L72,Desagregations!$A:$B,2,0),""),IF(M72&lt;&gt;"","_",""),IF(M72&lt;&gt;"",VLOOKUP(M72,Desagregations!$A:$B,2,0),""),IF(N72&lt;&gt;"","_",""),IF(N72&lt;&gt;"",VLOOKUP(N72,Desagregations!$A:$B,2,0),""),IF(O72&lt;&gt;"","_",""),IF(O72&lt;&gt;"",VLOOKUP(O72,Desagregations!$A:$B,2,0),""),IF(P72&lt;&gt;"","_",""),IF(P72&lt;&gt;"",VLOOKUP(P72,Desagregations!$A:$B,2,0),"")),"-",VLOOKUP(D72,Unites!$A:$B,2,0),"-",VLOOKUP(E72,Sources!$A:$B,2,0),"-",VLOOKUP(F72,CommentaireValeurIndicateurs!$A:$B,2,0),"-",VLOOKUP(G72,NatureDonnees!$A:$B,2,0),"-",VLOOKUP(H72,Periodes!$A:$B,2,0))</f>
        <v>1316-1-6-4-50-3-3-24</v>
      </c>
      <c r="B72" s="2" t="s">
        <v>72</v>
      </c>
      <c r="C72" s="4" t="s">
        <v>136</v>
      </c>
      <c r="D72" t="s">
        <v>125</v>
      </c>
      <c r="E72" t="s">
        <v>124</v>
      </c>
      <c r="F72" s="4" t="s">
        <v>399</v>
      </c>
      <c r="G72" s="4" t="s">
        <v>402</v>
      </c>
      <c r="H72">
        <v>2023</v>
      </c>
      <c r="I72">
        <v>11.05</v>
      </c>
      <c r="K7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Indicateurs</vt:lpstr>
      <vt:lpstr>Desagregations</vt:lpstr>
      <vt:lpstr>Sources</vt:lpstr>
      <vt:lpstr>Unites</vt:lpstr>
      <vt:lpstr>Zones</vt:lpstr>
      <vt:lpstr>Periodes</vt:lpstr>
      <vt:lpstr>CommentaireValeurIndicateurs</vt:lpstr>
      <vt:lpstr>NatureDonnees</vt:lpstr>
      <vt:lpstr>Data</vt:lpstr>
      <vt:lpstr>bkp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Abass Ali</cp:lastModifiedBy>
  <dcterms:created xsi:type="dcterms:W3CDTF">2025-11-05T09:22:49Z</dcterms:created>
  <dcterms:modified xsi:type="dcterms:W3CDTF">2025-11-05T11:14:31Z</dcterms:modified>
  <cp:category/>
</cp:coreProperties>
</file>