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s\Documents\snise\PRR\"/>
    </mc:Choice>
  </mc:AlternateContent>
  <xr:revisionPtr revIDLastSave="0" documentId="13_ncr:1_{C305177D-62D6-41A5-B593-BFB14D8B157C}" xr6:coauthVersionLast="47" xr6:coauthVersionMax="47" xr10:uidLastSave="{00000000-0000-0000-0000-000000000000}"/>
  <bookViews>
    <workbookView xWindow="-120" yWindow="-120" windowWidth="20730" windowHeight="11040" tabRatio="771" firstSheet="1" activeTab="8" xr2:uid="{00000000-000D-0000-FFFF-FFFF00000000}"/>
  </bookViews>
  <sheets>
    <sheet name="Indicateurs" sheetId="1" r:id="rId1"/>
    <sheet name="Desagregations" sheetId="2" r:id="rId2"/>
    <sheet name="Sources" sheetId="3" r:id="rId3"/>
    <sheet name="Unites" sheetId="4" r:id="rId4"/>
    <sheet name="Zones" sheetId="5" r:id="rId5"/>
    <sheet name="Periodes" sheetId="6" r:id="rId6"/>
    <sheet name="CommentaireValeurIndicateurs" sheetId="7" r:id="rId7"/>
    <sheet name="NatureDonnees" sheetId="8" r:id="rId8"/>
    <sheet name="Data" sheetId="10" r:id="rId9"/>
    <sheet name="bkp" sheetId="11" r:id="rId10"/>
  </sheets>
  <definedNames>
    <definedName name="_xlnm._FilterDatabase" localSheetId="8" hidden="1">Data!$A$1:$I$341</definedName>
    <definedName name="_xlnm._FilterDatabase" localSheetId="0" hidden="1">Indicateurs!$A$1:$B$72</definedName>
    <definedName name="_xlnm._FilterDatabase" localSheetId="2" hidden="1">Sources!$A$1:$B$48</definedName>
  </definedNames>
  <calcPr calcId="191029" forceFullCalc="1"/>
</workbook>
</file>

<file path=xl/calcChain.xml><?xml version="1.0" encoding="utf-8"?>
<calcChain xmlns="http://schemas.openxmlformats.org/spreadsheetml/2006/main">
  <c r="A356" i="11" l="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</calcChain>
</file>

<file path=xl/sharedStrings.xml><?xml version="1.0" encoding="utf-8"?>
<sst xmlns="http://schemas.openxmlformats.org/spreadsheetml/2006/main" count="5700" uniqueCount="753">
  <si>
    <t>Intitulé</t>
  </si>
  <si>
    <t>Id</t>
  </si>
  <si>
    <t>Proportion de la population vivant en dessous du seuil national de pauvreté</t>
  </si>
  <si>
    <t>Incidence de la pauvreté multidimensionnelle</t>
  </si>
  <si>
    <t xml:space="preserve">Espérance de vie à la naissance </t>
  </si>
  <si>
    <t>Taux de satisfaction des populations vis-à-vis des services des forces de défense et de sécurité</t>
  </si>
  <si>
    <t>Proportion des communes déclarées en état d’urgence</t>
  </si>
  <si>
    <t>Proportion des frontières du territoire délimités et abornées (en distance kilométrique)</t>
  </si>
  <si>
    <t>Taux de variation des conflits inter et intra-communautaires</t>
  </si>
  <si>
    <t>Proportion de comités de Paix opérationnels pour la prévention et la gestion des conflits communautaires</t>
  </si>
  <si>
    <t>Proportion de la population estimant que les informations fournies par les autorités centrales sur le budget et les politiques publiques sont suffisantes</t>
  </si>
  <si>
    <t>Proportion de la population ayant contribué à au moins une action de développement bénévolement</t>
  </si>
  <si>
    <t>Taux de satisfaction des usagers des services judiciaires</t>
  </si>
  <si>
    <t xml:space="preserve">Délai moyen de traitement des affaires pénales </t>
  </si>
  <si>
    <t>Taux de couverture juridictionnelle</t>
  </si>
  <si>
    <t>Proportion de la population estimant que leurs préoccupations/demandes sont prises en compte par les autorités politiques</t>
  </si>
  <si>
    <t>Ratio d'encadrement administratif</t>
  </si>
  <si>
    <t>Pourcentage des collectivités qui ont déposé leurs comptes de gestion dans les délais</t>
  </si>
  <si>
    <t>Proportion des communes ayant élaboré le rapport annuel sur l’état général de la commune</t>
  </si>
  <si>
    <t xml:space="preserve">Proportion des institutions opérationnelles prévues par la charte de la refondation de la République </t>
  </si>
  <si>
    <t>Degré de perception de la population sur le respect des droits humains</t>
  </si>
  <si>
    <t>Proportion de compétitions internationales auxquelles le Niger a obtenu de médailles et autres distinctions</t>
  </si>
  <si>
    <t>Nombre d’événements sportif régionaux et internationaux auxquels le Niger a participé</t>
  </si>
  <si>
    <t>Taux de croissance annuelle du PIB réel</t>
  </si>
  <si>
    <t>Indice de répartition des revenus (Indice de Gini)</t>
  </si>
  <si>
    <t>Taux d’exécution du budget de l’Etat</t>
  </si>
  <si>
    <t>Proportion des cadres stratégiques sectoriels conformes aux priorités nationales</t>
  </si>
  <si>
    <t>Taux de pression fiscale</t>
  </si>
  <si>
    <t>Part des ressources extérieures dans le budget national</t>
  </si>
  <si>
    <t>Part de quantité de céréales importées par rapport aux besoins</t>
  </si>
  <si>
    <t>Part de l'agriculture dans le PIB</t>
  </si>
  <si>
    <t>Part de la production des cultures irriguées dans la production agricole</t>
  </si>
  <si>
    <t>Taux d’accroissement des productions des cultures irriguées</t>
  </si>
  <si>
    <t>Taux d’accroissement des productions des cultures pluviales</t>
  </si>
  <si>
    <t>Part de l'élevage dans le PIB</t>
  </si>
  <si>
    <t>Indice d’accessibilité rurale</t>
  </si>
  <si>
    <t>Taux d’écoulement des produits agricoles entre le Niger et le reste du Monde</t>
  </si>
  <si>
    <t>Proportion des plateformes de commerces ayant une rubrique agricole</t>
  </si>
  <si>
    <t>Proportion d’unités agro-industrielles opérationnelles</t>
  </si>
  <si>
    <t>Part des activités minières dans le PIB (Uranate+Or)</t>
  </si>
  <si>
    <t xml:space="preserve">Part des activités extractives pétrolières dans le PIB </t>
  </si>
  <si>
    <t>Taux d’accès national à l’électricité (Toutes les sources)</t>
  </si>
  <si>
    <t>Densité routière</t>
  </si>
  <si>
    <t xml:space="preserve">Délai moyen d’acheminement des marchandises à partir des principaux ports de transit </t>
  </si>
  <si>
    <t>Taux de pénétration mobile</t>
  </si>
  <si>
    <t>Taux de pénétration internet haut débit</t>
  </si>
  <si>
    <t>Taux d'alphabétisation</t>
  </si>
  <si>
    <t>Taux de mortalité des enfants de moins de 5 ans</t>
  </si>
  <si>
    <t>Taux de mortalité maternelle</t>
  </si>
  <si>
    <t xml:space="preserve">Taux d’achèvement primaire (TAP) </t>
  </si>
  <si>
    <t>Taux d'achèvement Global au cycle de base 2</t>
  </si>
  <si>
    <t>Taux d'achèvement Global au cycle moyen</t>
  </si>
  <si>
    <t>Proportion (%) d’apprenants inscrits à l’EFTP formel par rapport à ceux de l'enseignement secondaire général</t>
  </si>
  <si>
    <t xml:space="preserve">Durée Moyenne de scolarisation </t>
  </si>
  <si>
    <t>Ratio étudiants/enseignants dans les Universités Publiques du Niger</t>
  </si>
  <si>
    <t>Nombre d’étudiants pour une place assise en amphithéâtre</t>
  </si>
  <si>
    <t>Taux de variation de brevets délivrés</t>
  </si>
  <si>
    <t>Dépense de recherche et développement en pourcentage du budget national</t>
  </si>
  <si>
    <t>Proportion de projets de recherche financés</t>
  </si>
  <si>
    <t>Taux de couverture sanitaire</t>
  </si>
  <si>
    <t>Taux d’accouchements assistés par un personnel qualifié</t>
  </si>
  <si>
    <t>Proportion d’établissements de santé utilisant un dispositif adéquat de gestion des déchets d’activités de soins (GDAS)</t>
  </si>
  <si>
    <t>Prévalence de la malnutrition aiguë globale chez les enfants de 6 à 59 mois</t>
  </si>
  <si>
    <t>Pourcentage de personnes affectées assistées en vivres et biens non alimentaires</t>
  </si>
  <si>
    <t xml:space="preserve">Pourcentage des ménages en insécurité alimentaire bénéficiaires de transferts sociaux prévisibles caractérisés des pauvres </t>
  </si>
  <si>
    <t xml:space="preserve">Taux de placement des jeunes </t>
  </si>
  <si>
    <t xml:space="preserve">Taux de chômage des jeunes (15 à 34 ans) </t>
  </si>
  <si>
    <t>Taux de couverture géographique en eau potable en milieu rural</t>
  </si>
  <si>
    <t>Taux d’accès théorique à l’eau potable en milieu rural</t>
  </si>
  <si>
    <t>Taux des Communes Urbaines/ Villes ayant un plan de gestion des déchets (PGD)</t>
  </si>
  <si>
    <t>Taux de valorisation des déchets ménagers</t>
  </si>
  <si>
    <t>Proportion des centres urbains disposant d’un outil de planification urbaine (SDAU, PUR, CDU, SDEP)</t>
  </si>
  <si>
    <t>Taux de réalisation de logements sociaux</t>
  </si>
  <si>
    <t>Femme</t>
  </si>
  <si>
    <t>Homme</t>
  </si>
  <si>
    <t>Urbain</t>
  </si>
  <si>
    <t>Rural</t>
  </si>
  <si>
    <t>Total</t>
  </si>
  <si>
    <t>INS, 2021, EHCVM</t>
  </si>
  <si>
    <t>INS, 2019, Rapport sur les projections démographiques</t>
  </si>
  <si>
    <t>Rapport Ministère en charge de l'intérieur</t>
  </si>
  <si>
    <t>Rapport Ministère en charge de l'intérieur 2022</t>
  </si>
  <si>
    <t>HACP</t>
  </si>
  <si>
    <t>MJDH, 2022, Rapport d'enquête sur les besoins et la satisfaction en matière de justice</t>
  </si>
  <si>
    <t>MJDH</t>
  </si>
  <si>
    <t>RAP du ministère en charge de la fonction publique</t>
  </si>
  <si>
    <t>Cour des comptes, 2021, Rapport d'activité</t>
  </si>
  <si>
    <t>Ministère de l'intérieur</t>
  </si>
  <si>
    <t>MJCAS</t>
  </si>
  <si>
    <t>Annuaire MJCAS</t>
  </si>
  <si>
    <t>INS, 2024, comptes nationaux annuels (CNA) révisés 2015-2022 et provisoires 2023-2024</t>
  </si>
  <si>
    <t>MEF/DGPPD-DGB</t>
  </si>
  <si>
    <t>MEF/DGPPD</t>
  </si>
  <si>
    <t>MEF</t>
  </si>
  <si>
    <t>DGB</t>
  </si>
  <si>
    <t>Ministère de l'Agriculture et l'Elevage</t>
  </si>
  <si>
    <t>Rapport DS/MAG/EL, RAP et RAC du MAG/EL</t>
  </si>
  <si>
    <t>MEq, 2022, RAP</t>
  </si>
  <si>
    <t>INS, 2023, Bulletin des statistiques du commerce extérieur</t>
  </si>
  <si>
    <t>Ministère du Commerce et de l'Industrie</t>
  </si>
  <si>
    <t>INS, 2022, CEN</t>
  </si>
  <si>
    <t>ME/ER, RAP 2022</t>
  </si>
  <si>
    <t>MEq, 2024, RAP</t>
  </si>
  <si>
    <t>MT, 2022, RAP</t>
  </si>
  <si>
    <t>ARCEP, Rapport d'activités 2022</t>
  </si>
  <si>
    <t>INS, 2021, Enquête ENAFEME</t>
  </si>
  <si>
    <t>INS, 2015, ENISED</t>
  </si>
  <si>
    <t>Annuaire MEN/A/EP/PLN 2023-2024</t>
  </si>
  <si>
    <t>INS-RNDH,2020</t>
  </si>
  <si>
    <t>Annuaire MESR 2023-2024</t>
  </si>
  <si>
    <t>Annuaire MESRIT 2023-2024</t>
  </si>
  <si>
    <t>Ministère du Commerce et d'Industrie</t>
  </si>
  <si>
    <t>Ministère de l'Economie et des Finances</t>
  </si>
  <si>
    <t>MESRIT</t>
  </si>
  <si>
    <t>Annuaire Statistique MSP, 2024</t>
  </si>
  <si>
    <t>Annuaire Santé</t>
  </si>
  <si>
    <t>Rapport d'évaluation, 2024, du PGDISS 2016-2020</t>
  </si>
  <si>
    <t>INS, 2022, Enquête SMART</t>
  </si>
  <si>
    <t>PAP/MAHGC</t>
  </si>
  <si>
    <t>Rapport ANPE</t>
  </si>
  <si>
    <t>Rapport sur les indicateurs MH/A</t>
  </si>
  <si>
    <t>Rapport sur les indicateurs MHA/E</t>
  </si>
  <si>
    <t>Rapport MELCD</t>
  </si>
  <si>
    <t>MU/ L, Rapport Annuel de Performance 2022</t>
  </si>
  <si>
    <t>MU/H RAP</t>
  </si>
  <si>
    <t>%</t>
  </si>
  <si>
    <t>Ans</t>
  </si>
  <si>
    <t>Jour</t>
  </si>
  <si>
    <t>Encadrants pour 1000hbts</t>
  </si>
  <si>
    <t>Nombre</t>
  </si>
  <si>
    <t>Indice</t>
  </si>
  <si>
    <t>Km/1000hbts</t>
  </si>
  <si>
    <t>‰</t>
  </si>
  <si>
    <t>100 000 naissances</t>
  </si>
  <si>
    <t>Ratio</t>
  </si>
  <si>
    <t>Niveau</t>
  </si>
  <si>
    <t>NIGER</t>
  </si>
  <si>
    <t>NIAMEY</t>
  </si>
  <si>
    <t>DOSSO</t>
  </si>
  <si>
    <t>AGADEZ</t>
  </si>
  <si>
    <t>TAHOUA</t>
  </si>
  <si>
    <t>MARADI</t>
  </si>
  <si>
    <t>DIFFA</t>
  </si>
  <si>
    <t>VILLE DE NIAMEY</t>
  </si>
  <si>
    <t>DOGONDOUTCHI</t>
  </si>
  <si>
    <t>INGALL</t>
  </si>
  <si>
    <t>BAGAROUA</t>
  </si>
  <si>
    <t>ILLELA</t>
  </si>
  <si>
    <t>MALBAZA</t>
  </si>
  <si>
    <t>MADAOUA</t>
  </si>
  <si>
    <t>KEITA</t>
  </si>
  <si>
    <t>BOUZA</t>
  </si>
  <si>
    <t>ABALAK</t>
  </si>
  <si>
    <t>ARLIT</t>
  </si>
  <si>
    <t>BOBOYE</t>
  </si>
  <si>
    <t>FALMEY</t>
  </si>
  <si>
    <t>GAYA</t>
  </si>
  <si>
    <t>DIOUNDIOU</t>
  </si>
  <si>
    <t>TIBIRI (DOUTCHI)</t>
  </si>
  <si>
    <t>LOGA</t>
  </si>
  <si>
    <t>GAZAOUA</t>
  </si>
  <si>
    <t>AGUIE</t>
  </si>
  <si>
    <t>MADAROUNFA</t>
  </si>
  <si>
    <t>GUIDAN-ROUMDJI</t>
  </si>
  <si>
    <t>TESSAOUA</t>
  </si>
  <si>
    <t>DAKORO</t>
  </si>
  <si>
    <t>MAYAHI</t>
  </si>
  <si>
    <t>MAINE-SOROA</t>
  </si>
  <si>
    <t>GOUDOUMARIA</t>
  </si>
  <si>
    <t>BOSSO</t>
  </si>
  <si>
    <t>BERMO</t>
  </si>
  <si>
    <t>ADERBISSINAT</t>
  </si>
  <si>
    <t>TCHIROZERINE</t>
  </si>
  <si>
    <t>IFEROUANE</t>
  </si>
  <si>
    <t>BILMA</t>
  </si>
  <si>
    <t>MARADI VILLE</t>
  </si>
  <si>
    <t>NIAMEY ARRONDISSEMENT 3</t>
  </si>
  <si>
    <t>NIAMEY ARRONDISSEMENT 2</t>
  </si>
  <si>
    <t>NIAMEY ARRONDISSEMENT 1</t>
  </si>
  <si>
    <t>NIAMEY ARRONDISSEMENT 5</t>
  </si>
  <si>
    <t>NIAMEY ARRONDISSEMENT 4</t>
  </si>
  <si>
    <t>DOGONKIRIA</t>
  </si>
  <si>
    <t>MATANKARI</t>
  </si>
  <si>
    <t>BAMBEYE</t>
  </si>
  <si>
    <t>TAJAE</t>
  </si>
  <si>
    <t>DOGUERAWA</t>
  </si>
  <si>
    <t>SABON GUIDA</t>
  </si>
  <si>
    <t>GALMA KOUDAWATCHE</t>
  </si>
  <si>
    <t>TAMASKE</t>
  </si>
  <si>
    <t>BADAGUICHIRI</t>
  </si>
  <si>
    <t>ALLAKAYE</t>
  </si>
  <si>
    <t>TABOTAKI</t>
  </si>
  <si>
    <t>AZARORI</t>
  </si>
  <si>
    <t>GARHANGA</t>
  </si>
  <si>
    <t>DEOULE</t>
  </si>
  <si>
    <t>AFFALA</t>
  </si>
  <si>
    <t>TABALAK</t>
  </si>
  <si>
    <t>BARMOU</t>
  </si>
  <si>
    <t>IBOHAMANE</t>
  </si>
  <si>
    <t>AKOUBOUNOU</t>
  </si>
  <si>
    <t>BANGUI</t>
  </si>
  <si>
    <t>OURNO</t>
  </si>
  <si>
    <t>KAROFANE</t>
  </si>
  <si>
    <t>BABANKATAMI</t>
  </si>
  <si>
    <t>AZEYE</t>
  </si>
  <si>
    <t>TAMAYA</t>
  </si>
  <si>
    <t>GOUGARAM</t>
  </si>
  <si>
    <t>FAKARA</t>
  </si>
  <si>
    <t>FABIDJI</t>
  </si>
  <si>
    <t>KANKANDI</t>
  </si>
  <si>
    <t>TESSA</t>
  </si>
  <si>
    <t>SAMBERA</t>
  </si>
  <si>
    <t>TANDA</t>
  </si>
  <si>
    <t>YELOU</t>
  </si>
  <si>
    <t>GOLLE</t>
  </si>
  <si>
    <t>GUILLADJE</t>
  </si>
  <si>
    <t>FAREY</t>
  </si>
  <si>
    <t>BANA</t>
  </si>
  <si>
    <t>BENGOU</t>
  </si>
  <si>
    <t>TOUNOUGA</t>
  </si>
  <si>
    <t>KARGUIBANGOU</t>
  </si>
  <si>
    <t>ZABORI</t>
  </si>
  <si>
    <t>KARAKARA</t>
  </si>
  <si>
    <t>GUECHEME</t>
  </si>
  <si>
    <t>MOKKO</t>
  </si>
  <si>
    <t>KIOTA</t>
  </si>
  <si>
    <t>GARANKEDEY</t>
  </si>
  <si>
    <t>GOROUBANKASSAM</t>
  </si>
  <si>
    <t>KOYGOLO</t>
  </si>
  <si>
    <t>HARIKANASSOU</t>
  </si>
  <si>
    <t>SOKORBE</t>
  </si>
  <si>
    <t>KORE MAIROUA</t>
  </si>
  <si>
    <t>TOMBOKOIREY II</t>
  </si>
  <si>
    <t>TOMBOKOIREY I</t>
  </si>
  <si>
    <t>DOUMEGA</t>
  </si>
  <si>
    <t>FALWEL</t>
  </si>
  <si>
    <t>KIECHE</t>
  </si>
  <si>
    <t>DAN-KASSARI</t>
  </si>
  <si>
    <t>SOUCOUCOUTANE</t>
  </si>
  <si>
    <t>DANNET</t>
  </si>
  <si>
    <t>GANGARA (AGUIE)</t>
  </si>
  <si>
    <t>GABI</t>
  </si>
  <si>
    <t>SAFO</t>
  </si>
  <si>
    <t>TIBIRI (MARADI)</t>
  </si>
  <si>
    <t>DAN-ISSA</t>
  </si>
  <si>
    <t>SARKIN YAMMA</t>
  </si>
  <si>
    <t>GUIDAN SORI</t>
  </si>
  <si>
    <t>DJIRATAWA</t>
  </si>
  <si>
    <t>TCHADOUA</t>
  </si>
  <si>
    <t>HAWANDAWAKI</t>
  </si>
  <si>
    <t>KORGOM</t>
  </si>
  <si>
    <t>SAE SABOUA</t>
  </si>
  <si>
    <t>MAIYARA</t>
  </si>
  <si>
    <t>GUIDAN ROUMDJI</t>
  </si>
  <si>
    <t>CHADAKORI</t>
  </si>
  <si>
    <t>DAN-GOULBI</t>
  </si>
  <si>
    <t>SABON MACHI</t>
  </si>
  <si>
    <t>KORNAKA</t>
  </si>
  <si>
    <t>SARKIN HAOUSSA</t>
  </si>
  <si>
    <t>BAOUDETTA</t>
  </si>
  <si>
    <t>MAIJIRGUI</t>
  </si>
  <si>
    <t>KOONA</t>
  </si>
  <si>
    <t>ATTANTANE</t>
  </si>
  <si>
    <t>OURAFANE</t>
  </si>
  <si>
    <t>KANAN-BAKACHE</t>
  </si>
  <si>
    <t>ISSAWANE</t>
  </si>
  <si>
    <t>FOULATARI</t>
  </si>
  <si>
    <t>MAINE SOROA</t>
  </si>
  <si>
    <t>CHETIMARI</t>
  </si>
  <si>
    <t>GUESKEROU</t>
  </si>
  <si>
    <t>TOUMOUR</t>
  </si>
  <si>
    <t>EL ALLASSANE MAIREYREY</t>
  </si>
  <si>
    <t>GADABEDJI</t>
  </si>
  <si>
    <t>BIRNI LALLE</t>
  </si>
  <si>
    <t>ADJEKORIA</t>
  </si>
  <si>
    <t>KORAHANE</t>
  </si>
  <si>
    <t>TAGRISS</t>
  </si>
  <si>
    <t>GUIDAN AMOUMOUNE</t>
  </si>
  <si>
    <t>TCHAKE</t>
  </si>
  <si>
    <t>ROUMBOU I</t>
  </si>
  <si>
    <t>AZAGOR</t>
  </si>
  <si>
    <t>BADER GOULA</t>
  </si>
  <si>
    <t>DABAGA</t>
  </si>
  <si>
    <t>TABELOT</t>
  </si>
  <si>
    <t>TIMIA</t>
  </si>
  <si>
    <t>DIRKOU</t>
  </si>
  <si>
    <t>FACHI</t>
  </si>
  <si>
    <t>DJADO</t>
  </si>
  <si>
    <t>TILLABERI</t>
  </si>
  <si>
    <t>ZINDER</t>
  </si>
  <si>
    <t>SAY</t>
  </si>
  <si>
    <t>KOLLO</t>
  </si>
  <si>
    <t>GOTHEYE</t>
  </si>
  <si>
    <t>TERA</t>
  </si>
  <si>
    <t>BALLEYARA</t>
  </si>
  <si>
    <t>ABALA</t>
  </si>
  <si>
    <t>OUALLAM</t>
  </si>
  <si>
    <t>FILINGUE</t>
  </si>
  <si>
    <t>AYEROU</t>
  </si>
  <si>
    <t>BANIBANGOU</t>
  </si>
  <si>
    <t>BANKILARE</t>
  </si>
  <si>
    <t>KANTCHE</t>
  </si>
  <si>
    <t>MAGARIA</t>
  </si>
  <si>
    <t>MIRRIAH</t>
  </si>
  <si>
    <t>TAKEITA</t>
  </si>
  <si>
    <t>GOURE</t>
  </si>
  <si>
    <t>DUNGASS</t>
  </si>
  <si>
    <t>DAMAGARAM TAKAYA</t>
  </si>
  <si>
    <t>BELBEDJI</t>
  </si>
  <si>
    <t>TANOUT</t>
  </si>
  <si>
    <t>TESKER</t>
  </si>
  <si>
    <t>TILLIA</t>
  </si>
  <si>
    <t>TCHINTABARADEN</t>
  </si>
  <si>
    <t>TASSARA</t>
  </si>
  <si>
    <t>ZINDER VILLE</t>
  </si>
  <si>
    <t>TAHOUA VILLE</t>
  </si>
  <si>
    <t>TORODI</t>
  </si>
  <si>
    <t>TAMOU</t>
  </si>
  <si>
    <t>OURO GUELADJO</t>
  </si>
  <si>
    <t>KIRTACHI</t>
  </si>
  <si>
    <t>DARGOL</t>
  </si>
  <si>
    <t>NAMARO</t>
  </si>
  <si>
    <t>DIAGOUROU</t>
  </si>
  <si>
    <t>KOURE</t>
  </si>
  <si>
    <t>DIANTCHANDOU</t>
  </si>
  <si>
    <t>TAGAZAR</t>
  </si>
  <si>
    <t>SIMIRI</t>
  </si>
  <si>
    <t>KOKOROU</t>
  </si>
  <si>
    <t>KOURTEYE</t>
  </si>
  <si>
    <t>SAKOIRA</t>
  </si>
  <si>
    <t>IMANAN</t>
  </si>
  <si>
    <t>TONDIKANDIA</t>
  </si>
  <si>
    <t>KOURFEYE CENTRE</t>
  </si>
  <si>
    <t>DINGAZI</t>
  </si>
  <si>
    <t>DESSA</t>
  </si>
  <si>
    <t>MEHANA</t>
  </si>
  <si>
    <t>SINDER</t>
  </si>
  <si>
    <t>ANZOUROU</t>
  </si>
  <si>
    <t>INATES</t>
  </si>
  <si>
    <t>TONDIKIWINDI</t>
  </si>
  <si>
    <t>BIBIYERGOU</t>
  </si>
  <si>
    <t>KARMA</t>
  </si>
  <si>
    <t>HAMDALLAYE</t>
  </si>
  <si>
    <t>BITINKODJI</t>
  </si>
  <si>
    <t>YOURI</t>
  </si>
  <si>
    <t>LIBORE</t>
  </si>
  <si>
    <t>GOROUOL</t>
  </si>
  <si>
    <t>MATAMEY</t>
  </si>
  <si>
    <t>DROUM</t>
  </si>
  <si>
    <t>DAN BARTO</t>
  </si>
  <si>
    <t>SASSOUMBROUM</t>
  </si>
  <si>
    <t>YEKOUA</t>
  </si>
  <si>
    <t>KWAYA</t>
  </si>
  <si>
    <t>DAOUCHE</t>
  </si>
  <si>
    <t>TSAOUNI</t>
  </si>
  <si>
    <t>YAOURI</t>
  </si>
  <si>
    <t>KOURNI</t>
  </si>
  <si>
    <t>DOUNGOU</t>
  </si>
  <si>
    <t>ICHIRNAWA</t>
  </si>
  <si>
    <t>GARAGOUMSA</t>
  </si>
  <si>
    <t>TIRMINI</t>
  </si>
  <si>
    <t>BOUNE</t>
  </si>
  <si>
    <t>BANDE</t>
  </si>
  <si>
    <t>DOGO-DOGO</t>
  </si>
  <si>
    <t>DANTCHIAO</t>
  </si>
  <si>
    <t>MALAWA</t>
  </si>
  <si>
    <t>WACHA</t>
  </si>
  <si>
    <t>DOGO</t>
  </si>
  <si>
    <t>GOUNA</t>
  </si>
  <si>
    <t>GOUCHI</t>
  </si>
  <si>
    <t>GUIDIGUIR</t>
  </si>
  <si>
    <t>KELLE</t>
  </si>
  <si>
    <t>GAFFATI</t>
  </si>
  <si>
    <t>HAMDARA</t>
  </si>
  <si>
    <t>KOLLERAM</t>
  </si>
  <si>
    <t>ZERMOU</t>
  </si>
  <si>
    <t>GUIDIMOUNI</t>
  </si>
  <si>
    <t>ALBARKARAM</t>
  </si>
  <si>
    <t>DAKOUSSA</t>
  </si>
  <si>
    <t>WAME</t>
  </si>
  <si>
    <t>MAZAMNI</t>
  </si>
  <si>
    <t>MOA</t>
  </si>
  <si>
    <t>TARKA</t>
  </si>
  <si>
    <t>FALENKO</t>
  </si>
  <si>
    <t>OLLELEWA</t>
  </si>
  <si>
    <t>TENHYA</t>
  </si>
  <si>
    <t>GANGARA (TANOUT)</t>
  </si>
  <si>
    <t>GAMOU</t>
  </si>
  <si>
    <t>ALAKOSS</t>
  </si>
  <si>
    <t>KALFOU</t>
  </si>
  <si>
    <t>TEBARAM</t>
  </si>
  <si>
    <t>KAO</t>
  </si>
  <si>
    <t>TAKANAMAT</t>
  </si>
  <si>
    <t>PARC W</t>
  </si>
  <si>
    <t>ZINDER I,II,III,IV,V</t>
  </si>
  <si>
    <t>TAHOUA I,II</t>
  </si>
  <si>
    <t>MAKALONDI</t>
  </si>
  <si>
    <t>...</t>
  </si>
  <si>
    <t>///</t>
  </si>
  <si>
    <t>RAS</t>
  </si>
  <si>
    <t>Prévision</t>
  </si>
  <si>
    <t>Réalisation</t>
  </si>
  <si>
    <t>Valeur de référence</t>
  </si>
  <si>
    <t>Code</t>
  </si>
  <si>
    <t>Indicateur</t>
  </si>
  <si>
    <t>Zone</t>
  </si>
  <si>
    <t>Unite</t>
  </si>
  <si>
    <t>Source</t>
  </si>
  <si>
    <t>CommentaireValeur</t>
  </si>
  <si>
    <t>NatureDonnee</t>
  </si>
  <si>
    <t>Periode</t>
  </si>
  <si>
    <t>valeur</t>
  </si>
  <si>
    <t>Début Désagregation</t>
  </si>
  <si>
    <t>1246-1-6-4-4-3-1-26</t>
  </si>
  <si>
    <t>1247-1-6-4-4-3-1-26</t>
  </si>
  <si>
    <t>1248-1-6-5-5-3-1-26</t>
  </si>
  <si>
    <t>1249-1-6-4-4-3-1-26</t>
  </si>
  <si>
    <t>1250-1-6-4-6-3-1-26</t>
  </si>
  <si>
    <t>1251-1-6-4-7-3-1-26</t>
  </si>
  <si>
    <t>1252-1-6-4-8-3-1-26</t>
  </si>
  <si>
    <t>1253-1-6-4-8-3-1-26</t>
  </si>
  <si>
    <t>1254-1-6-4-4-3-1-26</t>
  </si>
  <si>
    <t>1255-1-6-4-4-3-1-26</t>
  </si>
  <si>
    <t>1256-1-6-4-9-3-1-26</t>
  </si>
  <si>
    <t>1257-1-6-6-10-3-1-26</t>
  </si>
  <si>
    <t>1258-1-6-4-10-3-1-26</t>
  </si>
  <si>
    <t>1259-1-6-4-4-3-1-26</t>
  </si>
  <si>
    <t>1260-1-6-7-11-3-1-26</t>
  </si>
  <si>
    <t>1261-1-6-4-12-3-1-26</t>
  </si>
  <si>
    <t>1262-1-6-4-13-3-1-26</t>
  </si>
  <si>
    <t>1263-1-6-4-10-3-1-26</t>
  </si>
  <si>
    <t>1264-1-6-4-10-3-1-26</t>
  </si>
  <si>
    <t>1265-1-6-4-14-3-1-26</t>
  </si>
  <si>
    <t>1266-1-6-8-15-3-1-26</t>
  </si>
  <si>
    <t>1267-1-6-4-16-3-1-26</t>
  </si>
  <si>
    <t>1268-1-6-9-4-3-1-26</t>
  </si>
  <si>
    <t>1269-1-6-4-17-3-1-26</t>
  </si>
  <si>
    <t>1270-1-6-4-18-3-1-26</t>
  </si>
  <si>
    <t>1271-1-6-4-19-3-1-26</t>
  </si>
  <si>
    <t>1273-1-6-4-21-3-1-26</t>
  </si>
  <si>
    <t>1274-1-6-4-16-3-1-26</t>
  </si>
  <si>
    <t>1275-1-6-4-22-3-1-26</t>
  </si>
  <si>
    <t>1276-1-6-4-22-3-1-26</t>
  </si>
  <si>
    <t>1277-1-6-4-22-3-1-26</t>
  </si>
  <si>
    <t>1278-1-6-4-16-3-1-26</t>
  </si>
  <si>
    <t>1279-1-6-4-23-3-1-26</t>
  </si>
  <si>
    <t>1280-1-6-4-24-3-1-26</t>
  </si>
  <si>
    <t>1281-1-6-4-25-3-1-26</t>
  </si>
  <si>
    <t>1282-1-6-4-25-3-1-26</t>
  </si>
  <si>
    <t>1283-1-6-4-26-3-1-26</t>
  </si>
  <si>
    <t>1284-1-6-4-26-3-1-26</t>
  </si>
  <si>
    <t>1285-1-6-4-27-3-1-26</t>
  </si>
  <si>
    <t>1286-1-6-10-28-3-1-26</t>
  </si>
  <si>
    <t>1287-1-6-6-29-3-1-26</t>
  </si>
  <si>
    <t>1288-1-6-4-30-3-1-26</t>
  </si>
  <si>
    <t>1289-1-6-4-30-3-1-26</t>
  </si>
  <si>
    <t>1290-1-6-4-4-3-1-26</t>
  </si>
  <si>
    <t>1291-1-6-11-31-3-1-26</t>
  </si>
  <si>
    <t>1292-1-6-12-32-3-1-26</t>
  </si>
  <si>
    <t>1293-1-6-4-33-3-1-26</t>
  </si>
  <si>
    <t>1294-1-6-4-33-3-1-26</t>
  </si>
  <si>
    <t>1295-1-6-4-33-3-1-26</t>
  </si>
  <si>
    <t>1296-1-6-4-33-3-1-26</t>
  </si>
  <si>
    <t>1297-1-6-5-34-3-1-26</t>
  </si>
  <si>
    <t>1298-1-6-13-35-3-1-26</t>
  </si>
  <si>
    <t>1299-1-6-8-36-3-1-26</t>
  </si>
  <si>
    <t>1300-1-6-4-25-3-1-26</t>
  </si>
  <si>
    <t>1303-1-6-4-40-3-1-26</t>
  </si>
  <si>
    <t>1304-1-6-4-41-3-1-26</t>
  </si>
  <si>
    <t>1305-1-6-4-42-3-1-26</t>
  </si>
  <si>
    <t>1306-1-6-4-43-3-1-26</t>
  </si>
  <si>
    <t>1307-1-6-4-44-3-1-26</t>
  </si>
  <si>
    <t>1308-1-6-4-4-3-1-26</t>
  </si>
  <si>
    <t>1309-1-6-4-45-3-1-26</t>
  </si>
  <si>
    <t>1310-1-6-4-4-3-1-26</t>
  </si>
  <si>
    <t>1311-1-6-4-46-3-1-26</t>
  </si>
  <si>
    <t>1312-1-6-4-46-3-1-26</t>
  </si>
  <si>
    <t>1313-1-6-4-47-3-1-26</t>
  </si>
  <si>
    <t>1314-1-6-4-48-3-1-26</t>
  </si>
  <si>
    <t>1315-1-6-4-49-3-1-26</t>
  </si>
  <si>
    <t>1316-1-6-4-50-3-1-26</t>
  </si>
  <si>
    <t>1246-1-6-4-4-3-1-27</t>
  </si>
  <si>
    <t>1247-1-6-4-4-3-1-27</t>
  </si>
  <si>
    <t>1248-1-6-5-5-3-1-27</t>
  </si>
  <si>
    <t>1249-1-6-4-4-3-1-27</t>
  </si>
  <si>
    <t>1250-1-6-4-6-3-1-27</t>
  </si>
  <si>
    <t>1251-1-6-4-7-3-1-27</t>
  </si>
  <si>
    <t>1252-1-6-4-8-3-1-27</t>
  </si>
  <si>
    <t>1253-1-6-4-8-3-1-27</t>
  </si>
  <si>
    <t>1254-1-6-4-4-3-1-27</t>
  </si>
  <si>
    <t>1255-1-6-4-4-3-1-27</t>
  </si>
  <si>
    <t>1256-1-6-4-9-3-1-27</t>
  </si>
  <si>
    <t>1257-1-6-6-10-3-1-27</t>
  </si>
  <si>
    <t>1258-1-6-4-10-3-1-27</t>
  </si>
  <si>
    <t>1259-1-6-4-4-3-1-27</t>
  </si>
  <si>
    <t>1260-1-6-7-11-3-1-27</t>
  </si>
  <si>
    <t>1261-1-6-4-12-3-1-27</t>
  </si>
  <si>
    <t>1262-1-6-4-13-3-1-27</t>
  </si>
  <si>
    <t>1263-1-6-4-10-3-1-27</t>
  </si>
  <si>
    <t>1264-1-6-4-10-3-1-27</t>
  </si>
  <si>
    <t>1265-1-6-4-14-3-1-27</t>
  </si>
  <si>
    <t>1266-1-6-8-15-3-1-27</t>
  </si>
  <si>
    <t>1267-1-6-4-16-3-1-27</t>
  </si>
  <si>
    <t>1268-1-6-9-4-3-1-27</t>
  </si>
  <si>
    <t>1269-1-6-4-17-3-1-27</t>
  </si>
  <si>
    <t>1270-1-6-4-18-3-1-27</t>
  </si>
  <si>
    <t>1271-1-6-4-19-3-1-27</t>
  </si>
  <si>
    <t>1273-1-6-4-21-3-1-27</t>
  </si>
  <si>
    <t>1274-1-6-4-16-3-1-27</t>
  </si>
  <si>
    <t>1275-1-6-4-22-3-1-27</t>
  </si>
  <si>
    <t>1276-1-6-4-22-3-1-27</t>
  </si>
  <si>
    <t>1277-1-6-4-22-3-1-27</t>
  </si>
  <si>
    <t>1278-1-6-4-16-3-1-27</t>
  </si>
  <si>
    <t>1279-1-6-4-23-3-1-27</t>
  </si>
  <si>
    <t>1280-1-6-4-24-3-1-27</t>
  </si>
  <si>
    <t>1281-1-6-4-25-3-1-27</t>
  </si>
  <si>
    <t>1282-1-6-4-25-3-1-27</t>
  </si>
  <si>
    <t>1283-1-6-4-26-3-1-27</t>
  </si>
  <si>
    <t>1284-1-6-4-26-3-1-27</t>
  </si>
  <si>
    <t>1285-1-6-4-27-3-1-27</t>
  </si>
  <si>
    <t>1286-1-6-10-28-3-1-27</t>
  </si>
  <si>
    <t>1287-1-6-6-29-3-1-27</t>
  </si>
  <si>
    <t>1288-1-6-4-30-3-1-27</t>
  </si>
  <si>
    <t>1289-1-6-4-30-3-1-27</t>
  </si>
  <si>
    <t>1290-1-6-4-4-3-1-27</t>
  </si>
  <si>
    <t>1291-1-6-11-31-3-1-27</t>
  </si>
  <si>
    <t>1292-1-6-12-32-3-1-27</t>
  </si>
  <si>
    <t>1293-1-6-4-33-3-1-27</t>
  </si>
  <si>
    <t>1294-1-6-4-33-3-1-27</t>
  </si>
  <si>
    <t>1295-1-6-4-33-3-1-27</t>
  </si>
  <si>
    <t>1296-1-6-4-33-3-1-27</t>
  </si>
  <si>
    <t>1297-1-6-5-34-3-1-27</t>
  </si>
  <si>
    <t>1298-1-6-13-35-3-1-27</t>
  </si>
  <si>
    <t>1299-1-6-8-36-3-1-27</t>
  </si>
  <si>
    <t>1300-1-6-4-25-3-1-27</t>
  </si>
  <si>
    <t>1303-1-6-4-40-3-1-27</t>
  </si>
  <si>
    <t>1304-1-6-4-41-3-1-27</t>
  </si>
  <si>
    <t>1305-1-6-4-42-3-1-27</t>
  </si>
  <si>
    <t>1306-1-6-4-43-3-1-27</t>
  </si>
  <si>
    <t>1307-1-6-4-44-3-1-27</t>
  </si>
  <si>
    <t>1308-1-6-4-4-3-1-27</t>
  </si>
  <si>
    <t>1309-1-6-4-45-3-1-27</t>
  </si>
  <si>
    <t>1310-1-6-4-4-3-1-27</t>
  </si>
  <si>
    <t>1311-1-6-4-46-3-1-27</t>
  </si>
  <si>
    <t>1312-1-6-4-46-3-1-27</t>
  </si>
  <si>
    <t>1313-1-6-4-47-3-1-27</t>
  </si>
  <si>
    <t>1314-1-6-4-48-3-1-27</t>
  </si>
  <si>
    <t>1315-1-6-4-49-3-1-27</t>
  </si>
  <si>
    <t>1316-1-6-4-50-3-1-27</t>
  </si>
  <si>
    <t>1246-1-6-4-4-3-1-28</t>
  </si>
  <si>
    <t>1247-1-6-4-4-3-1-28</t>
  </si>
  <si>
    <t>1248-1-6-5-5-3-1-28</t>
  </si>
  <si>
    <t>1249-1-6-4-4-3-1-28</t>
  </si>
  <si>
    <t>1250-1-6-4-6-3-1-28</t>
  </si>
  <si>
    <t>1251-1-6-4-7-3-1-28</t>
  </si>
  <si>
    <t>1252-1-6-4-8-3-1-28</t>
  </si>
  <si>
    <t>1253-1-6-4-8-3-1-28</t>
  </si>
  <si>
    <t>1254-1-6-4-4-3-1-28</t>
  </si>
  <si>
    <t>1255-1-6-4-4-3-1-28</t>
  </si>
  <si>
    <t>1256-1-6-4-9-3-1-28</t>
  </si>
  <si>
    <t>1257-1-6-6-10-3-1-28</t>
  </si>
  <si>
    <t>1258-1-6-4-10-3-1-28</t>
  </si>
  <si>
    <t>1259-1-6-4-4-3-1-28</t>
  </si>
  <si>
    <t>1260-1-6-7-11-3-1-28</t>
  </si>
  <si>
    <t>1261-1-6-4-12-3-1-28</t>
  </si>
  <si>
    <t>1262-1-6-4-13-3-1-28</t>
  </si>
  <si>
    <t>1263-1-6-4-10-3-1-28</t>
  </si>
  <si>
    <t>1264-1-6-4-10-3-1-28</t>
  </si>
  <si>
    <t>1265-1-6-4-14-3-1-28</t>
  </si>
  <si>
    <t>1266-1-6-8-15-3-1-28</t>
  </si>
  <si>
    <t>1267-1-6-4-16-3-1-28</t>
  </si>
  <si>
    <t>1268-1-6-9-4-3-1-28</t>
  </si>
  <si>
    <t>1269-1-6-4-17-3-1-28</t>
  </si>
  <si>
    <t>1270-1-6-4-18-3-1-28</t>
  </si>
  <si>
    <t>1271-1-6-4-19-3-1-28</t>
  </si>
  <si>
    <t>1273-1-6-4-21-3-1-28</t>
  </si>
  <si>
    <t>1274-1-6-4-16-3-1-28</t>
  </si>
  <si>
    <t>1275-1-6-4-22-3-1-28</t>
  </si>
  <si>
    <t>1276-1-6-4-22-3-1-28</t>
  </si>
  <si>
    <t>1277-1-6-4-22-3-1-28</t>
  </si>
  <si>
    <t>1278-1-6-4-16-3-1-28</t>
  </si>
  <si>
    <t>1279-1-6-4-23-3-1-28</t>
  </si>
  <si>
    <t>1280-1-6-4-24-3-1-28</t>
  </si>
  <si>
    <t>1281-1-6-4-25-3-1-28</t>
  </si>
  <si>
    <t>1282-1-6-4-25-3-1-28</t>
  </si>
  <si>
    <t>1283-1-6-4-26-3-1-28</t>
  </si>
  <si>
    <t>1284-1-6-4-26-3-1-28</t>
  </si>
  <si>
    <t>1285-1-6-4-27-3-1-28</t>
  </si>
  <si>
    <t>1286-1-6-10-28-3-1-28</t>
  </si>
  <si>
    <t>1287-1-6-6-29-3-1-28</t>
  </si>
  <si>
    <t>1288-1-6-4-30-3-1-28</t>
  </si>
  <si>
    <t>1289-1-6-4-30-3-1-28</t>
  </si>
  <si>
    <t>1290-1-6-4-4-3-1-28</t>
  </si>
  <si>
    <t>1291-1-6-11-31-3-1-28</t>
  </si>
  <si>
    <t>1292-1-6-12-32-3-1-28</t>
  </si>
  <si>
    <t>1293-1-6-4-33-3-1-28</t>
  </si>
  <si>
    <t>1294-1-6-4-33-3-1-28</t>
  </si>
  <si>
    <t>1295-1-6-4-33-3-1-28</t>
  </si>
  <si>
    <t>1296-1-6-4-33-3-1-28</t>
  </si>
  <si>
    <t>1297-1-6-5-34-3-1-28</t>
  </si>
  <si>
    <t>1298-1-6-13-35-3-1-28</t>
  </si>
  <si>
    <t>1299-1-6-8-36-3-1-28</t>
  </si>
  <si>
    <t>1300-1-6-4-25-3-1-28</t>
  </si>
  <si>
    <t>1303-1-6-4-40-3-1-28</t>
  </si>
  <si>
    <t>1304-1-6-4-41-3-1-28</t>
  </si>
  <si>
    <t>1305-1-6-4-42-3-1-28</t>
  </si>
  <si>
    <t>1306-1-6-4-43-3-1-28</t>
  </si>
  <si>
    <t>1307-1-6-4-44-3-1-28</t>
  </si>
  <si>
    <t>1308-1-6-4-4-3-1-28</t>
  </si>
  <si>
    <t>1309-1-6-4-45-3-1-28</t>
  </si>
  <si>
    <t>1310-1-6-4-4-3-1-28</t>
  </si>
  <si>
    <t>1311-1-6-4-46-3-1-28</t>
  </si>
  <si>
    <t>1312-1-6-4-46-3-1-28</t>
  </si>
  <si>
    <t>1313-1-6-4-47-3-1-28</t>
  </si>
  <si>
    <t>1314-1-6-4-48-3-1-28</t>
  </si>
  <si>
    <t>1315-1-6-4-49-3-1-28</t>
  </si>
  <si>
    <t>1316-1-6-4-50-3-1-28</t>
  </si>
  <si>
    <t>1246-1-6-4-4-3-1-29</t>
  </si>
  <si>
    <t>1247-1-6-4-4-3-1-29</t>
  </si>
  <si>
    <t>1248-1-6-5-5-3-1-29</t>
  </si>
  <si>
    <t>1249-1-6-4-4-3-1-29</t>
  </si>
  <si>
    <t>1250-1-6-4-6-3-1-29</t>
  </si>
  <si>
    <t>1251-1-6-4-7-3-1-29</t>
  </si>
  <si>
    <t>1252-1-6-4-8-3-1-29</t>
  </si>
  <si>
    <t>1253-1-6-4-8-3-1-29</t>
  </si>
  <si>
    <t>1254-1-6-4-4-3-1-29</t>
  </si>
  <si>
    <t>1255-1-6-4-4-3-1-29</t>
  </si>
  <si>
    <t>1256-1-6-4-9-3-1-29</t>
  </si>
  <si>
    <t>1257-1-6-6-10-3-1-29</t>
  </si>
  <si>
    <t>1258-1-6-4-10-3-1-29</t>
  </si>
  <si>
    <t>1259-1-6-4-4-3-1-29</t>
  </si>
  <si>
    <t>1260-1-6-7-11-3-1-29</t>
  </si>
  <si>
    <t>1261-1-6-4-12-3-1-29</t>
  </si>
  <si>
    <t>1262-1-6-4-13-3-1-29</t>
  </si>
  <si>
    <t>1263-1-6-4-10-3-1-29</t>
  </si>
  <si>
    <t>1264-1-6-4-10-3-1-29</t>
  </si>
  <si>
    <t>1265-1-6-4-14-3-1-29</t>
  </si>
  <si>
    <t>1266-1-6-8-15-3-1-29</t>
  </si>
  <si>
    <t>1267-1-6-4-16-3-1-29</t>
  </si>
  <si>
    <t>1268-1-6-9-4-3-1-29</t>
  </si>
  <si>
    <t>1269-1-6-4-17-3-1-29</t>
  </si>
  <si>
    <t>1270-1-6-4-18-3-1-29</t>
  </si>
  <si>
    <t>1271-1-6-4-19-3-1-29</t>
  </si>
  <si>
    <t>1273-1-6-4-21-3-1-29</t>
  </si>
  <si>
    <t>1274-1-6-4-16-3-1-29</t>
  </si>
  <si>
    <t>1275-1-6-4-22-3-1-29</t>
  </si>
  <si>
    <t>1276-1-6-4-22-3-1-29</t>
  </si>
  <si>
    <t>1277-1-6-4-22-3-1-29</t>
  </si>
  <si>
    <t>1278-1-6-4-16-3-1-29</t>
  </si>
  <si>
    <t>1279-1-6-4-23-3-1-29</t>
  </si>
  <si>
    <t>1280-1-6-4-24-3-1-29</t>
  </si>
  <si>
    <t>1281-1-6-4-25-3-1-29</t>
  </si>
  <si>
    <t>1282-1-6-4-25-3-1-29</t>
  </si>
  <si>
    <t>1283-1-6-4-26-3-1-29</t>
  </si>
  <si>
    <t>1284-1-6-4-26-3-1-29</t>
  </si>
  <si>
    <t>1285-1-6-4-27-3-1-29</t>
  </si>
  <si>
    <t>1286-1-6-10-28-3-1-29</t>
  </si>
  <si>
    <t>1287-1-6-6-29-3-1-29</t>
  </si>
  <si>
    <t>1288-1-6-4-30-3-1-29</t>
  </si>
  <si>
    <t>1289-1-6-4-30-3-1-29</t>
  </si>
  <si>
    <t>1290-1-6-4-4-3-1-29</t>
  </si>
  <si>
    <t>1291-1-6-11-31-3-1-29</t>
  </si>
  <si>
    <t>1292-1-6-12-32-3-1-29</t>
  </si>
  <si>
    <t>1293-1-6-4-33-3-1-29</t>
  </si>
  <si>
    <t>1294-1-6-4-33-3-1-29</t>
  </si>
  <si>
    <t>1295-1-6-4-33-3-1-29</t>
  </si>
  <si>
    <t>1296-1-6-4-33-3-1-29</t>
  </si>
  <si>
    <t>1297-1-6-5-34-3-1-29</t>
  </si>
  <si>
    <t>1298-1-6-13-35-3-1-29</t>
  </si>
  <si>
    <t>1299-1-6-8-36-3-1-29</t>
  </si>
  <si>
    <t>1300-1-6-4-25-3-1-29</t>
  </si>
  <si>
    <t>1303-1-6-4-40-3-1-29</t>
  </si>
  <si>
    <t>1304-1-6-4-41-3-1-29</t>
  </si>
  <si>
    <t>1305-1-6-4-42-3-1-29</t>
  </si>
  <si>
    <t>1306-1-6-4-43-3-1-29</t>
  </si>
  <si>
    <t>1307-1-6-4-44-3-1-29</t>
  </si>
  <si>
    <t>1308-1-6-4-4-3-1-29</t>
  </si>
  <si>
    <t>1309-1-6-4-45-3-1-29</t>
  </si>
  <si>
    <t>1310-1-6-4-4-3-1-29</t>
  </si>
  <si>
    <t>1311-1-6-4-46-3-1-29</t>
  </si>
  <si>
    <t>1312-1-6-4-46-3-1-29</t>
  </si>
  <si>
    <t>1313-1-6-4-47-3-1-29</t>
  </si>
  <si>
    <t>1314-1-6-4-48-3-1-29</t>
  </si>
  <si>
    <t>1315-1-6-4-49-3-1-29</t>
  </si>
  <si>
    <t>1316-1-6-4-50-3-1-29</t>
  </si>
  <si>
    <t>1246-1-6-4-4-3-1-30</t>
  </si>
  <si>
    <t>1247-1-6-4-4-3-1-30</t>
  </si>
  <si>
    <t>1248-1-6-5-5-3-1-30</t>
  </si>
  <si>
    <t>1249-1-6-4-4-3-1-30</t>
  </si>
  <si>
    <t>1250-1-6-4-6-3-1-30</t>
  </si>
  <si>
    <t>1251-1-6-4-7-3-1-30</t>
  </si>
  <si>
    <t>1252-1-6-4-8-3-1-30</t>
  </si>
  <si>
    <t>1253-1-6-4-8-3-1-30</t>
  </si>
  <si>
    <t>1254-1-6-4-4-3-1-30</t>
  </si>
  <si>
    <t>1255-1-6-4-4-3-1-30</t>
  </si>
  <si>
    <t>1256-1-6-4-9-3-1-30</t>
  </si>
  <si>
    <t>1257-1-6-6-10-3-1-30</t>
  </si>
  <si>
    <t>1258-1-6-4-10-3-1-30</t>
  </si>
  <si>
    <t>1259-1-6-4-4-3-1-30</t>
  </si>
  <si>
    <t>1260-1-6-7-11-3-1-30</t>
  </si>
  <si>
    <t>1261-1-6-4-12-3-1-30</t>
  </si>
  <si>
    <t>1262-1-6-4-13-3-1-30</t>
  </si>
  <si>
    <t>1263-1-6-4-10-3-1-30</t>
  </si>
  <si>
    <t>1264-1-6-4-10-3-1-30</t>
  </si>
  <si>
    <t>1265-1-6-4-14-3-1-30</t>
  </si>
  <si>
    <t>1266-1-6-8-15-3-1-30</t>
  </si>
  <si>
    <t>1267-1-6-4-16-3-1-30</t>
  </si>
  <si>
    <t>1268-1-6-9-4-3-1-30</t>
  </si>
  <si>
    <t>1269-1-6-4-17-3-1-30</t>
  </si>
  <si>
    <t>1270-1-6-4-18-3-1-30</t>
  </si>
  <si>
    <t>1271-1-6-4-19-3-1-30</t>
  </si>
  <si>
    <t>1273-1-6-4-21-3-1-30</t>
  </si>
  <si>
    <t>1274-1-6-4-16-3-1-30</t>
  </si>
  <si>
    <t>1275-1-6-4-22-3-1-30</t>
  </si>
  <si>
    <t>1276-1-6-4-22-3-1-30</t>
  </si>
  <si>
    <t>1277-1-6-4-22-3-1-30</t>
  </si>
  <si>
    <t>1278-1-6-4-16-3-1-30</t>
  </si>
  <si>
    <t>1279-1-6-4-23-3-1-30</t>
  </si>
  <si>
    <t>1280-1-6-4-24-3-1-30</t>
  </si>
  <si>
    <t>1281-1-6-4-25-3-1-30</t>
  </si>
  <si>
    <t>1282-1-6-4-25-3-1-30</t>
  </si>
  <si>
    <t>1283-1-6-4-26-3-1-30</t>
  </si>
  <si>
    <t>1284-1-6-4-26-3-1-30</t>
  </si>
  <si>
    <t>1285-1-6-4-27-3-1-30</t>
  </si>
  <si>
    <t>1286-1-6-10-28-3-1-30</t>
  </si>
  <si>
    <t>1287-1-6-6-29-3-1-30</t>
  </si>
  <si>
    <t>1288-1-6-4-30-3-1-30</t>
  </si>
  <si>
    <t>1289-1-6-4-30-3-1-30</t>
  </si>
  <si>
    <t>1290-1-6-4-4-3-1-30</t>
  </si>
  <si>
    <t>1291-1-6-11-31-3-1-30</t>
  </si>
  <si>
    <t>1292-1-6-12-32-3-1-30</t>
  </si>
  <si>
    <t>1293-1-6-4-33-3-1-30</t>
  </si>
  <si>
    <t>1294-1-6-4-33-3-1-30</t>
  </si>
  <si>
    <t>1295-1-6-4-33-3-1-30</t>
  </si>
  <si>
    <t>1296-1-6-4-33-3-1-30</t>
  </si>
  <si>
    <t>1297-1-6-5-34-3-1-30</t>
  </si>
  <si>
    <t>1298-1-6-13-35-3-1-30</t>
  </si>
  <si>
    <t>1299-1-6-8-36-3-1-30</t>
  </si>
  <si>
    <t>1300-1-6-4-25-3-1-30</t>
  </si>
  <si>
    <t>1303-1-6-4-40-3-1-30</t>
  </si>
  <si>
    <t>1304-1-6-4-41-3-1-30</t>
  </si>
  <si>
    <t>1305-1-6-4-42-3-1-30</t>
  </si>
  <si>
    <t>1306-1-6-4-43-3-1-30</t>
  </si>
  <si>
    <t>1307-1-6-4-44-3-1-30</t>
  </si>
  <si>
    <t>1308-1-6-4-4-3-1-30</t>
  </si>
  <si>
    <t>1309-1-6-4-45-3-1-30</t>
  </si>
  <si>
    <t>1310-1-6-4-4-3-1-30</t>
  </si>
  <si>
    <t>1311-1-6-4-46-3-1-30</t>
  </si>
  <si>
    <t>1312-1-6-4-46-3-1-30</t>
  </si>
  <si>
    <t>1313-1-6-4-47-3-1-30</t>
  </si>
  <si>
    <t>1314-1-6-4-48-3-1-30</t>
  </si>
  <si>
    <t>1315-1-6-4-49-3-1-30</t>
  </si>
  <si>
    <t>1316-1-6-4-50-3-1-30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</si>
</sst>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9.5"/>
      <color rgb="FF000000"/>
      <name val="Tahoma"/>
      <family val="2"/>
    </font>
    <font>
      <sz val="9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72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137.425781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2</v>
      </c>
      <c r="B2">
        <v>1246</v>
      </c>
    </row>
    <row r="3" spans="1:2" hidden="1" x14ac:dyDescent="0.25">
      <c r="A3" t="s">
        <v>3</v>
      </c>
      <c r="B3">
        <v>1247</v>
      </c>
    </row>
    <row r="4" spans="1:2" hidden="1" x14ac:dyDescent="0.25">
      <c r="A4" t="s">
        <v>4</v>
      </c>
      <c r="B4">
        <v>1248</v>
      </c>
    </row>
    <row r="5" spans="1:2" hidden="1" x14ac:dyDescent="0.25">
      <c r="A5" t="s">
        <v>5</v>
      </c>
      <c r="B5">
        <v>1249</v>
      </c>
    </row>
    <row r="6" spans="1:2" hidden="1" x14ac:dyDescent="0.25">
      <c r="A6" t="s">
        <v>6</v>
      </c>
      <c r="B6">
        <v>1250</v>
      </c>
    </row>
    <row r="7" spans="1:2" hidden="1" x14ac:dyDescent="0.25">
      <c r="A7" t="s">
        <v>7</v>
      </c>
      <c r="B7">
        <v>1251</v>
      </c>
    </row>
    <row r="8" spans="1:2" hidden="1" x14ac:dyDescent="0.25">
      <c r="A8" t="s">
        <v>8</v>
      </c>
      <c r="B8">
        <v>1252</v>
      </c>
    </row>
    <row r="9" spans="1:2" hidden="1" x14ac:dyDescent="0.25">
      <c r="A9" t="s">
        <v>9</v>
      </c>
      <c r="B9">
        <v>1253</v>
      </c>
    </row>
    <row r="10" spans="1:2" hidden="1" x14ac:dyDescent="0.25">
      <c r="A10" t="s">
        <v>10</v>
      </c>
      <c r="B10">
        <v>1254</v>
      </c>
    </row>
    <row r="11" spans="1:2" hidden="1" x14ac:dyDescent="0.25">
      <c r="A11" t="s">
        <v>11</v>
      </c>
      <c r="B11">
        <v>1255</v>
      </c>
    </row>
    <row r="12" spans="1:2" x14ac:dyDescent="0.25">
      <c r="A12" t="s">
        <v>12</v>
      </c>
      <c r="B12">
        <v>1256</v>
      </c>
    </row>
    <row r="13" spans="1:2" hidden="1" x14ac:dyDescent="0.25">
      <c r="A13" t="s">
        <v>13</v>
      </c>
      <c r="B13">
        <v>1257</v>
      </c>
    </row>
    <row r="14" spans="1:2" hidden="1" x14ac:dyDescent="0.25">
      <c r="A14" t="s">
        <v>14</v>
      </c>
      <c r="B14">
        <v>1258</v>
      </c>
    </row>
    <row r="15" spans="1:2" hidden="1" x14ac:dyDescent="0.25">
      <c r="A15" t="s">
        <v>15</v>
      </c>
      <c r="B15">
        <v>1259</v>
      </c>
    </row>
    <row r="16" spans="1:2" hidden="1" x14ac:dyDescent="0.25">
      <c r="A16" t="s">
        <v>16</v>
      </c>
      <c r="B16">
        <v>1260</v>
      </c>
    </row>
    <row r="17" spans="1:2" hidden="1" x14ac:dyDescent="0.25">
      <c r="A17" t="s">
        <v>17</v>
      </c>
      <c r="B17">
        <v>1261</v>
      </c>
    </row>
    <row r="18" spans="1:2" hidden="1" x14ac:dyDescent="0.25">
      <c r="A18" t="s">
        <v>18</v>
      </c>
      <c r="B18">
        <v>1262</v>
      </c>
    </row>
    <row r="19" spans="1:2" hidden="1" x14ac:dyDescent="0.25">
      <c r="A19" t="s">
        <v>19</v>
      </c>
      <c r="B19">
        <v>1263</v>
      </c>
    </row>
    <row r="20" spans="1:2" hidden="1" x14ac:dyDescent="0.25">
      <c r="A20" t="s">
        <v>20</v>
      </c>
      <c r="B20">
        <v>1264</v>
      </c>
    </row>
    <row r="21" spans="1:2" hidden="1" x14ac:dyDescent="0.25">
      <c r="A21" t="s">
        <v>21</v>
      </c>
      <c r="B21">
        <v>1265</v>
      </c>
    </row>
    <row r="22" spans="1:2" hidden="1" x14ac:dyDescent="0.25">
      <c r="A22" t="s">
        <v>22</v>
      </c>
      <c r="B22">
        <v>1266</v>
      </c>
    </row>
    <row r="23" spans="1:2" hidden="1" x14ac:dyDescent="0.25">
      <c r="A23" t="s">
        <v>23</v>
      </c>
      <c r="B23">
        <v>1267</v>
      </c>
    </row>
    <row r="24" spans="1:2" hidden="1" x14ac:dyDescent="0.25">
      <c r="A24" t="s">
        <v>24</v>
      </c>
      <c r="B24">
        <v>1268</v>
      </c>
    </row>
    <row r="25" spans="1:2" hidden="1" x14ac:dyDescent="0.25">
      <c r="A25" t="s">
        <v>25</v>
      </c>
      <c r="B25">
        <v>1269</v>
      </c>
    </row>
    <row r="26" spans="1:2" hidden="1" x14ac:dyDescent="0.25">
      <c r="A26" t="s">
        <v>26</v>
      </c>
      <c r="B26">
        <v>1270</v>
      </c>
    </row>
    <row r="27" spans="1:2" hidden="1" x14ac:dyDescent="0.25">
      <c r="A27" t="s">
        <v>27</v>
      </c>
      <c r="B27">
        <v>1271</v>
      </c>
    </row>
    <row r="28" spans="1:2" hidden="1" x14ac:dyDescent="0.25">
      <c r="A28" t="s">
        <v>28</v>
      </c>
      <c r="B28">
        <v>1272</v>
      </c>
    </row>
    <row r="29" spans="1:2" hidden="1" x14ac:dyDescent="0.25">
      <c r="A29" t="s">
        <v>29</v>
      </c>
      <c r="B29">
        <v>1273</v>
      </c>
    </row>
    <row r="30" spans="1:2" hidden="1" x14ac:dyDescent="0.25">
      <c r="A30" t="s">
        <v>30</v>
      </c>
      <c r="B30">
        <v>1274</v>
      </c>
    </row>
    <row r="31" spans="1:2" hidden="1" x14ac:dyDescent="0.25">
      <c r="A31" t="s">
        <v>31</v>
      </c>
      <c r="B31">
        <v>1275</v>
      </c>
    </row>
    <row r="32" spans="1:2" hidden="1" x14ac:dyDescent="0.25">
      <c r="A32" t="s">
        <v>32</v>
      </c>
      <c r="B32">
        <v>1276</v>
      </c>
    </row>
    <row r="33" spans="1:2" hidden="1" x14ac:dyDescent="0.25">
      <c r="A33" t="s">
        <v>33</v>
      </c>
      <c r="B33">
        <v>1277</v>
      </c>
    </row>
    <row r="34" spans="1:2" hidden="1" x14ac:dyDescent="0.25">
      <c r="A34" t="s">
        <v>34</v>
      </c>
      <c r="B34">
        <v>1278</v>
      </c>
    </row>
    <row r="35" spans="1:2" hidden="1" x14ac:dyDescent="0.25">
      <c r="A35" t="s">
        <v>35</v>
      </c>
      <c r="B35">
        <v>1279</v>
      </c>
    </row>
    <row r="36" spans="1:2" hidden="1" x14ac:dyDescent="0.25">
      <c r="A36" t="s">
        <v>36</v>
      </c>
      <c r="B36">
        <v>1280</v>
      </c>
    </row>
    <row r="37" spans="1:2" hidden="1" x14ac:dyDescent="0.25">
      <c r="A37" t="s">
        <v>37</v>
      </c>
      <c r="B37">
        <v>1281</v>
      </c>
    </row>
    <row r="38" spans="1:2" hidden="1" x14ac:dyDescent="0.25">
      <c r="A38" t="s">
        <v>38</v>
      </c>
      <c r="B38">
        <v>1282</v>
      </c>
    </row>
    <row r="39" spans="1:2" hidden="1" x14ac:dyDescent="0.25">
      <c r="A39" t="s">
        <v>39</v>
      </c>
      <c r="B39">
        <v>1283</v>
      </c>
    </row>
    <row r="40" spans="1:2" hidden="1" x14ac:dyDescent="0.25">
      <c r="A40" t="s">
        <v>40</v>
      </c>
      <c r="B40">
        <v>1284</v>
      </c>
    </row>
    <row r="41" spans="1:2" hidden="1" x14ac:dyDescent="0.25">
      <c r="A41" t="s">
        <v>41</v>
      </c>
      <c r="B41">
        <v>1285</v>
      </c>
    </row>
    <row r="42" spans="1:2" hidden="1" x14ac:dyDescent="0.25">
      <c r="A42" t="s">
        <v>42</v>
      </c>
      <c r="B42">
        <v>1286</v>
      </c>
    </row>
    <row r="43" spans="1:2" hidden="1" x14ac:dyDescent="0.25">
      <c r="A43" t="s">
        <v>43</v>
      </c>
      <c r="B43">
        <v>1287</v>
      </c>
    </row>
    <row r="44" spans="1:2" hidden="1" x14ac:dyDescent="0.25">
      <c r="A44" t="s">
        <v>44</v>
      </c>
      <c r="B44">
        <v>1288</v>
      </c>
    </row>
    <row r="45" spans="1:2" hidden="1" x14ac:dyDescent="0.25">
      <c r="A45" t="s">
        <v>45</v>
      </c>
      <c r="B45">
        <v>1289</v>
      </c>
    </row>
    <row r="46" spans="1:2" hidden="1" x14ac:dyDescent="0.25">
      <c r="A46" t="s">
        <v>46</v>
      </c>
      <c r="B46">
        <v>1290</v>
      </c>
    </row>
    <row r="47" spans="1:2" hidden="1" x14ac:dyDescent="0.25">
      <c r="A47" t="s">
        <v>47</v>
      </c>
      <c r="B47">
        <v>1291</v>
      </c>
    </row>
    <row r="48" spans="1:2" hidden="1" x14ac:dyDescent="0.25">
      <c r="A48" t="s">
        <v>48</v>
      </c>
      <c r="B48">
        <v>1292</v>
      </c>
    </row>
    <row r="49" spans="1:2" hidden="1" x14ac:dyDescent="0.25">
      <c r="A49" t="s">
        <v>49</v>
      </c>
      <c r="B49">
        <v>1293</v>
      </c>
    </row>
    <row r="50" spans="1:2" hidden="1" x14ac:dyDescent="0.25">
      <c r="A50" t="s">
        <v>50</v>
      </c>
      <c r="B50">
        <v>1294</v>
      </c>
    </row>
    <row r="51" spans="1:2" hidden="1" x14ac:dyDescent="0.25">
      <c r="A51" t="s">
        <v>51</v>
      </c>
      <c r="B51">
        <v>1295</v>
      </c>
    </row>
    <row r="52" spans="1:2" hidden="1" x14ac:dyDescent="0.25">
      <c r="A52" t="s">
        <v>52</v>
      </c>
      <c r="B52">
        <v>1296</v>
      </c>
    </row>
    <row r="53" spans="1:2" hidden="1" x14ac:dyDescent="0.25">
      <c r="A53" t="s">
        <v>53</v>
      </c>
      <c r="B53">
        <v>1297</v>
      </c>
    </row>
    <row r="54" spans="1:2" hidden="1" x14ac:dyDescent="0.25">
      <c r="A54" t="s">
        <v>54</v>
      </c>
      <c r="B54">
        <v>1298</v>
      </c>
    </row>
    <row r="55" spans="1:2" hidden="1" x14ac:dyDescent="0.25">
      <c r="A55" t="s">
        <v>55</v>
      </c>
      <c r="B55">
        <v>1299</v>
      </c>
    </row>
    <row r="56" spans="1:2" hidden="1" x14ac:dyDescent="0.25">
      <c r="A56" t="s">
        <v>56</v>
      </c>
      <c r="B56">
        <v>1300</v>
      </c>
    </row>
    <row r="57" spans="1:2" hidden="1" x14ac:dyDescent="0.25">
      <c r="A57" t="s">
        <v>57</v>
      </c>
      <c r="B57">
        <v>1301</v>
      </c>
    </row>
    <row r="58" spans="1:2" hidden="1" x14ac:dyDescent="0.25">
      <c r="A58" t="s">
        <v>58</v>
      </c>
      <c r="B58">
        <v>1302</v>
      </c>
    </row>
    <row r="59" spans="1:2" hidden="1" x14ac:dyDescent="0.25">
      <c r="A59" t="s">
        <v>59</v>
      </c>
      <c r="B59">
        <v>1303</v>
      </c>
    </row>
    <row r="60" spans="1:2" hidden="1" x14ac:dyDescent="0.25">
      <c r="A60" t="s">
        <v>60</v>
      </c>
      <c r="B60">
        <v>1304</v>
      </c>
    </row>
    <row r="61" spans="1:2" hidden="1" x14ac:dyDescent="0.25">
      <c r="A61" t="s">
        <v>61</v>
      </c>
      <c r="B61">
        <v>1305</v>
      </c>
    </row>
    <row r="62" spans="1:2" hidden="1" x14ac:dyDescent="0.25">
      <c r="A62" t="s">
        <v>62</v>
      </c>
      <c r="B62">
        <v>1306</v>
      </c>
    </row>
    <row r="63" spans="1:2" hidden="1" x14ac:dyDescent="0.25">
      <c r="A63" t="s">
        <v>63</v>
      </c>
      <c r="B63">
        <v>1307</v>
      </c>
    </row>
    <row r="64" spans="1:2" hidden="1" x14ac:dyDescent="0.25">
      <c r="A64" t="s">
        <v>64</v>
      </c>
      <c r="B64">
        <v>1308</v>
      </c>
    </row>
    <row r="65" spans="1:2" hidden="1" x14ac:dyDescent="0.25">
      <c r="A65" t="s">
        <v>65</v>
      </c>
      <c r="B65">
        <v>1309</v>
      </c>
    </row>
    <row r="66" spans="1:2" hidden="1" x14ac:dyDescent="0.25">
      <c r="A66" t="s">
        <v>66</v>
      </c>
      <c r="B66">
        <v>1310</v>
      </c>
    </row>
    <row r="67" spans="1:2" hidden="1" x14ac:dyDescent="0.25">
      <c r="A67" t="s">
        <v>67</v>
      </c>
      <c r="B67">
        <v>1311</v>
      </c>
    </row>
    <row r="68" spans="1:2" hidden="1" x14ac:dyDescent="0.25">
      <c r="A68" t="s">
        <v>68</v>
      </c>
      <c r="B68">
        <v>1312</v>
      </c>
    </row>
    <row r="69" spans="1:2" hidden="1" x14ac:dyDescent="0.25">
      <c r="A69" t="s">
        <v>69</v>
      </c>
      <c r="B69">
        <v>1313</v>
      </c>
    </row>
    <row r="70" spans="1:2" hidden="1" x14ac:dyDescent="0.25">
      <c r="A70" t="s">
        <v>70</v>
      </c>
      <c r="B70">
        <v>1314</v>
      </c>
    </row>
    <row r="71" spans="1:2" hidden="1" x14ac:dyDescent="0.25">
      <c r="A71" t="s">
        <v>71</v>
      </c>
      <c r="B71">
        <v>1315</v>
      </c>
    </row>
    <row r="72" spans="1:2" hidden="1" x14ac:dyDescent="0.25">
      <c r="A72" t="s">
        <v>72</v>
      </c>
      <c r="B72">
        <v>1316</v>
      </c>
    </row>
  </sheetData>
  <autoFilter ref="A1:B72" xr:uid="{00000000-0001-0000-0000-000000000000}">
    <filterColumn colId="0">
      <filters>
        <filter val="Taux de satisfaction des usagers des services judiciair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73</v>
      </c>
      <c r="B2">
        <v>2</v>
      </c>
    </row>
    <row r="3" spans="1:2" x14ac:dyDescent="0.25">
      <c r="A3" t="s">
        <v>74</v>
      </c>
      <c r="B3">
        <v>1</v>
      </c>
    </row>
    <row r="4" spans="1:2" x14ac:dyDescent="0.25">
      <c r="A4" t="s">
        <v>75</v>
      </c>
      <c r="B4">
        <v>3</v>
      </c>
    </row>
    <row r="5" spans="1:2" x14ac:dyDescent="0.25">
      <c r="A5" t="s">
        <v>76</v>
      </c>
      <c r="B5">
        <v>5</v>
      </c>
    </row>
    <row r="6" spans="1:2" x14ac:dyDescent="0.25">
      <c r="A6" t="s">
        <v>77</v>
      </c>
      <c r="B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48"/>
  <sheetViews>
    <sheetView workbookViewId="0">
      <selection activeCell="A40" sqref="A40"/>
    </sheetView>
  </sheetViews>
  <sheetFormatPr baseColWidth="10" defaultColWidth="9.140625" defaultRowHeight="15" x14ac:dyDescent="0.25"/>
  <cols>
    <col min="1" max="1" width="79.425781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78</v>
      </c>
      <c r="B2">
        <v>4</v>
      </c>
    </row>
    <row r="3" spans="1:2" hidden="1" x14ac:dyDescent="0.25">
      <c r="A3" t="s">
        <v>79</v>
      </c>
      <c r="B3">
        <v>5</v>
      </c>
    </row>
    <row r="4" spans="1:2" hidden="1" x14ac:dyDescent="0.25">
      <c r="A4" t="s">
        <v>80</v>
      </c>
      <c r="B4">
        <v>6</v>
      </c>
    </row>
    <row r="5" spans="1:2" hidden="1" x14ac:dyDescent="0.25">
      <c r="A5" t="s">
        <v>81</v>
      </c>
      <c r="B5">
        <v>7</v>
      </c>
    </row>
    <row r="6" spans="1:2" hidden="1" x14ac:dyDescent="0.25">
      <c r="A6" t="s">
        <v>82</v>
      </c>
      <c r="B6">
        <v>8</v>
      </c>
    </row>
    <row r="7" spans="1:2" hidden="1" x14ac:dyDescent="0.25">
      <c r="A7" t="s">
        <v>83</v>
      </c>
      <c r="B7">
        <v>9</v>
      </c>
    </row>
    <row r="8" spans="1:2" hidden="1" x14ac:dyDescent="0.25">
      <c r="A8" t="s">
        <v>84</v>
      </c>
      <c r="B8">
        <v>10</v>
      </c>
    </row>
    <row r="9" spans="1:2" hidden="1" x14ac:dyDescent="0.25">
      <c r="A9" t="s">
        <v>85</v>
      </c>
      <c r="B9">
        <v>11</v>
      </c>
    </row>
    <row r="10" spans="1:2" hidden="1" x14ac:dyDescent="0.25">
      <c r="A10" t="s">
        <v>86</v>
      </c>
      <c r="B10">
        <v>12</v>
      </c>
    </row>
    <row r="11" spans="1:2" hidden="1" x14ac:dyDescent="0.25">
      <c r="A11" t="s">
        <v>87</v>
      </c>
      <c r="B11">
        <v>13</v>
      </c>
    </row>
    <row r="12" spans="1:2" hidden="1" x14ac:dyDescent="0.25">
      <c r="A12" t="s">
        <v>88</v>
      </c>
      <c r="B12">
        <v>14</v>
      </c>
    </row>
    <row r="13" spans="1:2" hidden="1" x14ac:dyDescent="0.25">
      <c r="A13" t="s">
        <v>89</v>
      </c>
      <c r="B13">
        <v>15</v>
      </c>
    </row>
    <row r="14" spans="1:2" hidden="1" x14ac:dyDescent="0.25">
      <c r="A14" t="s">
        <v>90</v>
      </c>
      <c r="B14">
        <v>16</v>
      </c>
    </row>
    <row r="15" spans="1:2" hidden="1" x14ac:dyDescent="0.25">
      <c r="A15" t="s">
        <v>91</v>
      </c>
      <c r="B15">
        <v>17</v>
      </c>
    </row>
    <row r="16" spans="1:2" hidden="1" x14ac:dyDescent="0.25">
      <c r="A16" t="s">
        <v>92</v>
      </c>
      <c r="B16">
        <v>18</v>
      </c>
    </row>
    <row r="17" spans="1:2" hidden="1" x14ac:dyDescent="0.25">
      <c r="A17" t="s">
        <v>93</v>
      </c>
      <c r="B17">
        <v>19</v>
      </c>
    </row>
    <row r="18" spans="1:2" hidden="1" x14ac:dyDescent="0.25">
      <c r="A18" t="s">
        <v>94</v>
      </c>
      <c r="B18">
        <v>20</v>
      </c>
    </row>
    <row r="19" spans="1:2" hidden="1" x14ac:dyDescent="0.25">
      <c r="A19" t="s">
        <v>95</v>
      </c>
      <c r="B19">
        <v>21</v>
      </c>
    </row>
    <row r="20" spans="1:2" hidden="1" x14ac:dyDescent="0.25">
      <c r="A20" t="s">
        <v>96</v>
      </c>
      <c r="B20">
        <v>22</v>
      </c>
    </row>
    <row r="21" spans="1:2" hidden="1" x14ac:dyDescent="0.25">
      <c r="A21" t="s">
        <v>97</v>
      </c>
      <c r="B21">
        <v>23</v>
      </c>
    </row>
    <row r="22" spans="1:2" hidden="1" x14ac:dyDescent="0.25">
      <c r="A22" t="s">
        <v>98</v>
      </c>
      <c r="B22">
        <v>24</v>
      </c>
    </row>
    <row r="23" spans="1:2" hidden="1" x14ac:dyDescent="0.25">
      <c r="A23" t="s">
        <v>99</v>
      </c>
      <c r="B23">
        <v>25</v>
      </c>
    </row>
    <row r="24" spans="1:2" hidden="1" x14ac:dyDescent="0.25">
      <c r="A24" t="s">
        <v>100</v>
      </c>
      <c r="B24">
        <v>26</v>
      </c>
    </row>
    <row r="25" spans="1:2" hidden="1" x14ac:dyDescent="0.25">
      <c r="A25" t="s">
        <v>101</v>
      </c>
      <c r="B25">
        <v>27</v>
      </c>
    </row>
    <row r="26" spans="1:2" hidden="1" x14ac:dyDescent="0.25">
      <c r="A26" t="s">
        <v>102</v>
      </c>
      <c r="B26">
        <v>28</v>
      </c>
    </row>
    <row r="27" spans="1:2" hidden="1" x14ac:dyDescent="0.25">
      <c r="A27" t="s">
        <v>103</v>
      </c>
      <c r="B27">
        <v>29</v>
      </c>
    </row>
    <row r="28" spans="1:2" hidden="1" x14ac:dyDescent="0.25">
      <c r="A28" s="4" t="s">
        <v>104</v>
      </c>
      <c r="B28">
        <v>30</v>
      </c>
    </row>
    <row r="29" spans="1:2" hidden="1" x14ac:dyDescent="0.25">
      <c r="A29" t="s">
        <v>105</v>
      </c>
      <c r="B29">
        <v>31</v>
      </c>
    </row>
    <row r="30" spans="1:2" hidden="1" x14ac:dyDescent="0.25">
      <c r="A30" t="s">
        <v>106</v>
      </c>
      <c r="B30">
        <v>32</v>
      </c>
    </row>
    <row r="31" spans="1:2" hidden="1" x14ac:dyDescent="0.25">
      <c r="A31" t="s">
        <v>107</v>
      </c>
      <c r="B31">
        <v>33</v>
      </c>
    </row>
    <row r="32" spans="1:2" hidden="1" x14ac:dyDescent="0.25">
      <c r="A32" t="s">
        <v>108</v>
      </c>
      <c r="B32">
        <v>34</v>
      </c>
    </row>
    <row r="33" spans="1:2" hidden="1" x14ac:dyDescent="0.25">
      <c r="A33" t="s">
        <v>109</v>
      </c>
      <c r="B33">
        <v>35</v>
      </c>
    </row>
    <row r="34" spans="1:2" hidden="1" x14ac:dyDescent="0.25">
      <c r="A34" t="s">
        <v>110</v>
      </c>
      <c r="B34">
        <v>36</v>
      </c>
    </row>
    <row r="35" spans="1:2" hidden="1" x14ac:dyDescent="0.25">
      <c r="A35" t="s">
        <v>111</v>
      </c>
      <c r="B35">
        <v>37</v>
      </c>
    </row>
    <row r="36" spans="1:2" hidden="1" x14ac:dyDescent="0.25">
      <c r="A36" t="s">
        <v>112</v>
      </c>
      <c r="B36">
        <v>38</v>
      </c>
    </row>
    <row r="37" spans="1:2" hidden="1" x14ac:dyDescent="0.25">
      <c r="A37" t="s">
        <v>113</v>
      </c>
      <c r="B37">
        <v>39</v>
      </c>
    </row>
    <row r="38" spans="1:2" hidden="1" x14ac:dyDescent="0.25">
      <c r="A38" t="s">
        <v>114</v>
      </c>
      <c r="B38">
        <v>40</v>
      </c>
    </row>
    <row r="39" spans="1:2" hidden="1" x14ac:dyDescent="0.25">
      <c r="A39" t="s">
        <v>115</v>
      </c>
      <c r="B39">
        <v>41</v>
      </c>
    </row>
    <row r="40" spans="1:2" x14ac:dyDescent="0.25">
      <c r="A40" t="s">
        <v>116</v>
      </c>
      <c r="B40">
        <v>42</v>
      </c>
    </row>
    <row r="41" spans="1:2" hidden="1" x14ac:dyDescent="0.25">
      <c r="A41" t="s">
        <v>117</v>
      </c>
      <c r="B41">
        <v>43</v>
      </c>
    </row>
    <row r="42" spans="1:2" hidden="1" x14ac:dyDescent="0.25">
      <c r="A42" t="s">
        <v>118</v>
      </c>
      <c r="B42">
        <v>44</v>
      </c>
    </row>
    <row r="43" spans="1:2" hidden="1" x14ac:dyDescent="0.25">
      <c r="A43" t="s">
        <v>119</v>
      </c>
      <c r="B43">
        <v>45</v>
      </c>
    </row>
    <row r="44" spans="1:2" hidden="1" x14ac:dyDescent="0.25">
      <c r="A44" t="s">
        <v>120</v>
      </c>
      <c r="B44">
        <v>46</v>
      </c>
    </row>
    <row r="45" spans="1:2" hidden="1" x14ac:dyDescent="0.25">
      <c r="A45" t="s">
        <v>121</v>
      </c>
      <c r="B45">
        <v>47</v>
      </c>
    </row>
    <row r="46" spans="1:2" hidden="1" x14ac:dyDescent="0.25">
      <c r="A46" t="s">
        <v>122</v>
      </c>
      <c r="B46">
        <v>48</v>
      </c>
    </row>
    <row r="47" spans="1:2" hidden="1" x14ac:dyDescent="0.25">
      <c r="A47" t="s">
        <v>123</v>
      </c>
      <c r="B47">
        <v>49</v>
      </c>
    </row>
    <row r="48" spans="1:2" hidden="1" x14ac:dyDescent="0.25">
      <c r="A48" t="s">
        <v>124</v>
      </c>
      <c r="B48">
        <v>50</v>
      </c>
    </row>
  </sheetData>
  <autoFilter ref="A1:B48" xr:uid="{00000000-0001-0000-0200-000000000000}">
    <filterColumn colId="0">
      <filters>
        <filter val="Rapport d'évaluation, 2024, du PGDISS 2016-202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125</v>
      </c>
      <c r="B2">
        <v>4</v>
      </c>
    </row>
    <row r="3" spans="1:2" x14ac:dyDescent="0.25">
      <c r="A3" t="s">
        <v>126</v>
      </c>
      <c r="B3">
        <v>5</v>
      </c>
    </row>
    <row r="4" spans="1:2" x14ac:dyDescent="0.25">
      <c r="A4" t="s">
        <v>127</v>
      </c>
      <c r="B4">
        <v>6</v>
      </c>
    </row>
    <row r="5" spans="1:2" x14ac:dyDescent="0.25">
      <c r="A5" t="s">
        <v>128</v>
      </c>
      <c r="B5">
        <v>7</v>
      </c>
    </row>
    <row r="6" spans="1:2" x14ac:dyDescent="0.25">
      <c r="A6" t="s">
        <v>129</v>
      </c>
      <c r="B6">
        <v>8</v>
      </c>
    </row>
    <row r="7" spans="1:2" x14ac:dyDescent="0.25">
      <c r="A7" t="s">
        <v>130</v>
      </c>
      <c r="B7">
        <v>9</v>
      </c>
    </row>
    <row r="8" spans="1:2" x14ac:dyDescent="0.25">
      <c r="A8" t="s">
        <v>131</v>
      </c>
      <c r="B8">
        <v>10</v>
      </c>
    </row>
    <row r="9" spans="1:2" x14ac:dyDescent="0.25">
      <c r="A9" t="s">
        <v>132</v>
      </c>
      <c r="B9">
        <v>11</v>
      </c>
    </row>
    <row r="10" spans="1:2" x14ac:dyDescent="0.25">
      <c r="A10" t="s">
        <v>133</v>
      </c>
      <c r="B10">
        <v>12</v>
      </c>
    </row>
    <row r="11" spans="1:2" x14ac:dyDescent="0.25">
      <c r="A11" t="s">
        <v>134</v>
      </c>
      <c r="B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135</v>
      </c>
    </row>
    <row r="2" spans="1:3" x14ac:dyDescent="0.25">
      <c r="A2" t="s">
        <v>136</v>
      </c>
      <c r="B2">
        <v>1</v>
      </c>
      <c r="C2">
        <v>1</v>
      </c>
    </row>
    <row r="3" spans="1:3" x14ac:dyDescent="0.25">
      <c r="A3" t="s">
        <v>137</v>
      </c>
      <c r="B3">
        <v>2</v>
      </c>
      <c r="C3">
        <v>2</v>
      </c>
    </row>
    <row r="4" spans="1:3" x14ac:dyDescent="0.25">
      <c r="A4" t="s">
        <v>138</v>
      </c>
      <c r="B4">
        <v>3</v>
      </c>
      <c r="C4">
        <v>2</v>
      </c>
    </row>
    <row r="5" spans="1:3" x14ac:dyDescent="0.25">
      <c r="A5" t="s">
        <v>139</v>
      </c>
      <c r="B5">
        <v>4</v>
      </c>
      <c r="C5">
        <v>2</v>
      </c>
    </row>
    <row r="6" spans="1:3" x14ac:dyDescent="0.25">
      <c r="A6" t="s">
        <v>140</v>
      </c>
      <c r="B6">
        <v>5</v>
      </c>
      <c r="C6">
        <v>2</v>
      </c>
    </row>
    <row r="7" spans="1:3" x14ac:dyDescent="0.25">
      <c r="A7" t="s">
        <v>141</v>
      </c>
      <c r="B7">
        <v>6</v>
      </c>
      <c r="C7">
        <v>2</v>
      </c>
    </row>
    <row r="8" spans="1:3" x14ac:dyDescent="0.25">
      <c r="A8" t="s">
        <v>142</v>
      </c>
      <c r="B8">
        <v>7</v>
      </c>
      <c r="C8">
        <v>2</v>
      </c>
    </row>
    <row r="9" spans="1:3" x14ac:dyDescent="0.25">
      <c r="A9" t="s">
        <v>143</v>
      </c>
      <c r="B9">
        <v>8</v>
      </c>
      <c r="C9">
        <v>3</v>
      </c>
    </row>
    <row r="10" spans="1:3" x14ac:dyDescent="0.25">
      <c r="A10" t="s">
        <v>144</v>
      </c>
      <c r="B10">
        <v>9</v>
      </c>
      <c r="C10">
        <v>3</v>
      </c>
    </row>
    <row r="11" spans="1:3" x14ac:dyDescent="0.25">
      <c r="A11" t="s">
        <v>145</v>
      </c>
      <c r="B11">
        <v>10</v>
      </c>
      <c r="C11">
        <v>3</v>
      </c>
    </row>
    <row r="12" spans="1:3" x14ac:dyDescent="0.25">
      <c r="A12" t="s">
        <v>140</v>
      </c>
      <c r="B12">
        <v>11</v>
      </c>
      <c r="C12">
        <v>3</v>
      </c>
    </row>
    <row r="13" spans="1:3" x14ac:dyDescent="0.25">
      <c r="A13" t="s">
        <v>146</v>
      </c>
      <c r="B13">
        <v>13</v>
      </c>
      <c r="C13">
        <v>3</v>
      </c>
    </row>
    <row r="14" spans="1:3" x14ac:dyDescent="0.25">
      <c r="A14" t="s">
        <v>147</v>
      </c>
      <c r="B14">
        <v>14</v>
      </c>
      <c r="C14">
        <v>3</v>
      </c>
    </row>
    <row r="15" spans="1:3" x14ac:dyDescent="0.25">
      <c r="A15" t="s">
        <v>148</v>
      </c>
      <c r="B15">
        <v>15</v>
      </c>
      <c r="C15">
        <v>3</v>
      </c>
    </row>
    <row r="16" spans="1:3" x14ac:dyDescent="0.25">
      <c r="A16" t="s">
        <v>149</v>
      </c>
      <c r="B16">
        <v>16</v>
      </c>
      <c r="C16">
        <v>3</v>
      </c>
    </row>
    <row r="17" spans="1:3" x14ac:dyDescent="0.25">
      <c r="A17" t="s">
        <v>150</v>
      </c>
      <c r="B17">
        <v>17</v>
      </c>
      <c r="C17">
        <v>3</v>
      </c>
    </row>
    <row r="18" spans="1:3" x14ac:dyDescent="0.25">
      <c r="A18" t="s">
        <v>151</v>
      </c>
      <c r="B18">
        <v>18</v>
      </c>
      <c r="C18">
        <v>3</v>
      </c>
    </row>
    <row r="19" spans="1:3" x14ac:dyDescent="0.25">
      <c r="A19" t="s">
        <v>152</v>
      </c>
      <c r="B19">
        <v>19</v>
      </c>
      <c r="C19">
        <v>3</v>
      </c>
    </row>
    <row r="20" spans="1:3" x14ac:dyDescent="0.25">
      <c r="A20" t="s">
        <v>153</v>
      </c>
      <c r="B20">
        <v>20</v>
      </c>
      <c r="C20">
        <v>3</v>
      </c>
    </row>
    <row r="21" spans="1:3" x14ac:dyDescent="0.25">
      <c r="A21" t="s">
        <v>154</v>
      </c>
      <c r="B21">
        <v>21</v>
      </c>
      <c r="C21">
        <v>3</v>
      </c>
    </row>
    <row r="22" spans="1:3" x14ac:dyDescent="0.25">
      <c r="A22" t="s">
        <v>155</v>
      </c>
      <c r="B22">
        <v>22</v>
      </c>
      <c r="C22">
        <v>3</v>
      </c>
    </row>
    <row r="23" spans="1:3" x14ac:dyDescent="0.25">
      <c r="A23" t="s">
        <v>138</v>
      </c>
      <c r="B23">
        <v>23</v>
      </c>
      <c r="C23">
        <v>3</v>
      </c>
    </row>
    <row r="24" spans="1:3" x14ac:dyDescent="0.25">
      <c r="A24" t="s">
        <v>156</v>
      </c>
      <c r="B24">
        <v>24</v>
      </c>
      <c r="C24">
        <v>3</v>
      </c>
    </row>
    <row r="25" spans="1:3" x14ac:dyDescent="0.25">
      <c r="A25" t="s">
        <v>157</v>
      </c>
      <c r="B25">
        <v>25</v>
      </c>
      <c r="C25">
        <v>3</v>
      </c>
    </row>
    <row r="26" spans="1:3" x14ac:dyDescent="0.25">
      <c r="A26" t="s">
        <v>158</v>
      </c>
      <c r="B26">
        <v>26</v>
      </c>
      <c r="C26">
        <v>3</v>
      </c>
    </row>
    <row r="27" spans="1:3" x14ac:dyDescent="0.25">
      <c r="A27" t="s">
        <v>159</v>
      </c>
      <c r="B27">
        <v>27</v>
      </c>
      <c r="C27">
        <v>3</v>
      </c>
    </row>
    <row r="28" spans="1:3" x14ac:dyDescent="0.25">
      <c r="A28" t="s">
        <v>160</v>
      </c>
      <c r="B28">
        <v>28</v>
      </c>
      <c r="C28">
        <v>3</v>
      </c>
    </row>
    <row r="29" spans="1:3" x14ac:dyDescent="0.25">
      <c r="A29" t="s">
        <v>161</v>
      </c>
      <c r="B29">
        <v>29</v>
      </c>
      <c r="C29">
        <v>3</v>
      </c>
    </row>
    <row r="30" spans="1:3" x14ac:dyDescent="0.25">
      <c r="A30" t="s">
        <v>162</v>
      </c>
      <c r="B30">
        <v>30</v>
      </c>
      <c r="C30">
        <v>3</v>
      </c>
    </row>
    <row r="31" spans="1:3" x14ac:dyDescent="0.25">
      <c r="A31" t="s">
        <v>163</v>
      </c>
      <c r="B31">
        <v>31</v>
      </c>
      <c r="C31">
        <v>3</v>
      </c>
    </row>
    <row r="32" spans="1:3" x14ac:dyDescent="0.25">
      <c r="A32" t="s">
        <v>164</v>
      </c>
      <c r="B32">
        <v>32</v>
      </c>
      <c r="C32">
        <v>3</v>
      </c>
    </row>
    <row r="33" spans="1:3" x14ac:dyDescent="0.25">
      <c r="A33" t="s">
        <v>165</v>
      </c>
      <c r="B33">
        <v>33</v>
      </c>
      <c r="C33">
        <v>3</v>
      </c>
    </row>
    <row r="34" spans="1:3" x14ac:dyDescent="0.25">
      <c r="A34" t="s">
        <v>166</v>
      </c>
      <c r="B34">
        <v>34</v>
      </c>
      <c r="C34">
        <v>3</v>
      </c>
    </row>
    <row r="35" spans="1:3" x14ac:dyDescent="0.25">
      <c r="A35" t="s">
        <v>167</v>
      </c>
      <c r="B35">
        <v>35</v>
      </c>
      <c r="C35">
        <v>3</v>
      </c>
    </row>
    <row r="36" spans="1:3" x14ac:dyDescent="0.25">
      <c r="A36" t="s">
        <v>142</v>
      </c>
      <c r="B36">
        <v>36</v>
      </c>
      <c r="C36">
        <v>3</v>
      </c>
    </row>
    <row r="37" spans="1:3" x14ac:dyDescent="0.25">
      <c r="A37" t="s">
        <v>168</v>
      </c>
      <c r="B37">
        <v>37</v>
      </c>
      <c r="C37">
        <v>3</v>
      </c>
    </row>
    <row r="38" spans="1:3" x14ac:dyDescent="0.25">
      <c r="A38" t="s">
        <v>169</v>
      </c>
      <c r="B38">
        <v>38</v>
      </c>
      <c r="C38">
        <v>3</v>
      </c>
    </row>
    <row r="39" spans="1:3" x14ac:dyDescent="0.25">
      <c r="A39" t="s">
        <v>170</v>
      </c>
      <c r="B39">
        <v>41</v>
      </c>
      <c r="C39">
        <v>3</v>
      </c>
    </row>
    <row r="40" spans="1:3" x14ac:dyDescent="0.25">
      <c r="A40" t="s">
        <v>171</v>
      </c>
      <c r="B40">
        <v>42</v>
      </c>
      <c r="C40">
        <v>3</v>
      </c>
    </row>
    <row r="41" spans="1:3" x14ac:dyDescent="0.25">
      <c r="A41" t="s">
        <v>172</v>
      </c>
      <c r="B41">
        <v>43</v>
      </c>
      <c r="C41">
        <v>3</v>
      </c>
    </row>
    <row r="42" spans="1:3" x14ac:dyDescent="0.25">
      <c r="A42" t="s">
        <v>173</v>
      </c>
      <c r="B42">
        <v>44</v>
      </c>
      <c r="C42">
        <v>3</v>
      </c>
    </row>
    <row r="43" spans="1:3" x14ac:dyDescent="0.25">
      <c r="A43" t="s">
        <v>174</v>
      </c>
      <c r="B43">
        <v>45</v>
      </c>
      <c r="C43">
        <v>3</v>
      </c>
    </row>
    <row r="44" spans="1:3" x14ac:dyDescent="0.25">
      <c r="A44" t="s">
        <v>175</v>
      </c>
      <c r="B44">
        <v>46</v>
      </c>
      <c r="C44">
        <v>3</v>
      </c>
    </row>
    <row r="45" spans="1:3" x14ac:dyDescent="0.25">
      <c r="A45" t="s">
        <v>176</v>
      </c>
      <c r="B45">
        <v>47</v>
      </c>
      <c r="C45">
        <v>4</v>
      </c>
    </row>
    <row r="46" spans="1:3" x14ac:dyDescent="0.25">
      <c r="A46" t="s">
        <v>177</v>
      </c>
      <c r="B46">
        <v>48</v>
      </c>
      <c r="C46">
        <v>4</v>
      </c>
    </row>
    <row r="47" spans="1:3" x14ac:dyDescent="0.25">
      <c r="A47" t="s">
        <v>178</v>
      </c>
      <c r="B47">
        <v>49</v>
      </c>
      <c r="C47">
        <v>4</v>
      </c>
    </row>
    <row r="48" spans="1:3" x14ac:dyDescent="0.25">
      <c r="A48" t="s">
        <v>179</v>
      </c>
      <c r="B48">
        <v>50</v>
      </c>
      <c r="C48">
        <v>4</v>
      </c>
    </row>
    <row r="49" spans="1:3" x14ac:dyDescent="0.25">
      <c r="A49" t="s">
        <v>180</v>
      </c>
      <c r="B49">
        <v>51</v>
      </c>
      <c r="C49">
        <v>4</v>
      </c>
    </row>
    <row r="50" spans="1:3" x14ac:dyDescent="0.25">
      <c r="A50" t="s">
        <v>181</v>
      </c>
      <c r="B50">
        <v>52</v>
      </c>
      <c r="C50">
        <v>4</v>
      </c>
    </row>
    <row r="51" spans="1:3" x14ac:dyDescent="0.25">
      <c r="A51" t="s">
        <v>182</v>
      </c>
      <c r="B51">
        <v>53</v>
      </c>
      <c r="C51">
        <v>4</v>
      </c>
    </row>
    <row r="52" spans="1:3" x14ac:dyDescent="0.25">
      <c r="A52" t="s">
        <v>145</v>
      </c>
      <c r="B52">
        <v>54</v>
      </c>
      <c r="C52">
        <v>4</v>
      </c>
    </row>
    <row r="53" spans="1:3" x14ac:dyDescent="0.25">
      <c r="A53" t="s">
        <v>146</v>
      </c>
      <c r="B53">
        <v>57</v>
      </c>
      <c r="C53">
        <v>4</v>
      </c>
    </row>
    <row r="54" spans="1:3" x14ac:dyDescent="0.25">
      <c r="A54" t="s">
        <v>147</v>
      </c>
      <c r="B54">
        <v>58</v>
      </c>
      <c r="C54">
        <v>4</v>
      </c>
    </row>
    <row r="55" spans="1:3" x14ac:dyDescent="0.25">
      <c r="A55" t="s">
        <v>183</v>
      </c>
      <c r="B55">
        <v>59</v>
      </c>
      <c r="C55">
        <v>4</v>
      </c>
    </row>
    <row r="56" spans="1:3" x14ac:dyDescent="0.25">
      <c r="A56" t="s">
        <v>184</v>
      </c>
      <c r="B56">
        <v>60</v>
      </c>
      <c r="C56">
        <v>4</v>
      </c>
    </row>
    <row r="57" spans="1:3" x14ac:dyDescent="0.25">
      <c r="A57" t="s">
        <v>148</v>
      </c>
      <c r="B57">
        <v>61</v>
      </c>
      <c r="C57">
        <v>4</v>
      </c>
    </row>
    <row r="58" spans="1:3" x14ac:dyDescent="0.25">
      <c r="A58" t="s">
        <v>185</v>
      </c>
      <c r="B58">
        <v>64</v>
      </c>
      <c r="C58">
        <v>4</v>
      </c>
    </row>
    <row r="59" spans="1:3" x14ac:dyDescent="0.25">
      <c r="A59" t="s">
        <v>186</v>
      </c>
      <c r="B59">
        <v>65</v>
      </c>
      <c r="C59">
        <v>4</v>
      </c>
    </row>
    <row r="60" spans="1:3" x14ac:dyDescent="0.25">
      <c r="A60" t="s">
        <v>187</v>
      </c>
      <c r="B60">
        <v>66</v>
      </c>
      <c r="C60">
        <v>4</v>
      </c>
    </row>
    <row r="61" spans="1:3" x14ac:dyDescent="0.25">
      <c r="A61" t="s">
        <v>188</v>
      </c>
      <c r="B61">
        <v>67</v>
      </c>
      <c r="C61">
        <v>4</v>
      </c>
    </row>
    <row r="62" spans="1:3" x14ac:dyDescent="0.25">
      <c r="A62" t="s">
        <v>189</v>
      </c>
      <c r="B62">
        <v>68</v>
      </c>
      <c r="C62">
        <v>4</v>
      </c>
    </row>
    <row r="63" spans="1:3" x14ac:dyDescent="0.25">
      <c r="A63" t="s">
        <v>190</v>
      </c>
      <c r="B63">
        <v>69</v>
      </c>
      <c r="C63">
        <v>4</v>
      </c>
    </row>
    <row r="64" spans="1:3" x14ac:dyDescent="0.25">
      <c r="A64" t="s">
        <v>191</v>
      </c>
      <c r="B64">
        <v>70</v>
      </c>
      <c r="C64">
        <v>4</v>
      </c>
    </row>
    <row r="65" spans="1:3" x14ac:dyDescent="0.25">
      <c r="A65" t="s">
        <v>192</v>
      </c>
      <c r="B65">
        <v>71</v>
      </c>
      <c r="C65">
        <v>4</v>
      </c>
    </row>
    <row r="66" spans="1:3" x14ac:dyDescent="0.25">
      <c r="A66" t="s">
        <v>193</v>
      </c>
      <c r="B66">
        <v>72</v>
      </c>
      <c r="C66">
        <v>4</v>
      </c>
    </row>
    <row r="67" spans="1:3" x14ac:dyDescent="0.25">
      <c r="A67" t="s">
        <v>194</v>
      </c>
      <c r="B67">
        <v>73</v>
      </c>
      <c r="C67">
        <v>4</v>
      </c>
    </row>
    <row r="68" spans="1:3" x14ac:dyDescent="0.25">
      <c r="A68" t="s">
        <v>195</v>
      </c>
      <c r="B68">
        <v>74</v>
      </c>
      <c r="C68">
        <v>4</v>
      </c>
    </row>
    <row r="69" spans="1:3" x14ac:dyDescent="0.25">
      <c r="A69" t="s">
        <v>196</v>
      </c>
      <c r="B69">
        <v>75</v>
      </c>
      <c r="C69">
        <v>4</v>
      </c>
    </row>
    <row r="70" spans="1:3" x14ac:dyDescent="0.25">
      <c r="A70" t="s">
        <v>197</v>
      </c>
      <c r="B70">
        <v>76</v>
      </c>
      <c r="C70">
        <v>4</v>
      </c>
    </row>
    <row r="71" spans="1:3" x14ac:dyDescent="0.25">
      <c r="A71" t="s">
        <v>152</v>
      </c>
      <c r="B71">
        <v>77</v>
      </c>
      <c r="C71">
        <v>4</v>
      </c>
    </row>
    <row r="72" spans="1:3" x14ac:dyDescent="0.25">
      <c r="A72" t="s">
        <v>198</v>
      </c>
      <c r="B72">
        <v>78</v>
      </c>
      <c r="C72">
        <v>4</v>
      </c>
    </row>
    <row r="73" spans="1:3" x14ac:dyDescent="0.25">
      <c r="A73" t="s">
        <v>150</v>
      </c>
      <c r="B73">
        <v>79</v>
      </c>
      <c r="C73">
        <v>4</v>
      </c>
    </row>
    <row r="74" spans="1:3" x14ac:dyDescent="0.25">
      <c r="A74" t="s">
        <v>199</v>
      </c>
      <c r="B74">
        <v>80</v>
      </c>
      <c r="C74">
        <v>4</v>
      </c>
    </row>
    <row r="75" spans="1:3" x14ac:dyDescent="0.25">
      <c r="A75" t="s">
        <v>200</v>
      </c>
      <c r="B75">
        <v>81</v>
      </c>
      <c r="C75">
        <v>4</v>
      </c>
    </row>
    <row r="76" spans="1:3" x14ac:dyDescent="0.25">
      <c r="A76" t="s">
        <v>201</v>
      </c>
      <c r="B76">
        <v>82</v>
      </c>
      <c r="C76">
        <v>4</v>
      </c>
    </row>
    <row r="77" spans="1:3" x14ac:dyDescent="0.25">
      <c r="A77" t="s">
        <v>149</v>
      </c>
      <c r="B77">
        <v>83</v>
      </c>
      <c r="C77">
        <v>4</v>
      </c>
    </row>
    <row r="78" spans="1:3" x14ac:dyDescent="0.25">
      <c r="A78" t="s">
        <v>202</v>
      </c>
      <c r="B78">
        <v>84</v>
      </c>
      <c r="C78">
        <v>4</v>
      </c>
    </row>
    <row r="79" spans="1:3" x14ac:dyDescent="0.25">
      <c r="A79" t="s">
        <v>151</v>
      </c>
      <c r="B79">
        <v>85</v>
      </c>
      <c r="C79">
        <v>4</v>
      </c>
    </row>
    <row r="80" spans="1:3" x14ac:dyDescent="0.25">
      <c r="A80" t="s">
        <v>203</v>
      </c>
      <c r="B80">
        <v>86</v>
      </c>
      <c r="C80">
        <v>4</v>
      </c>
    </row>
    <row r="81" spans="1:3" x14ac:dyDescent="0.25">
      <c r="A81" t="s">
        <v>204</v>
      </c>
      <c r="B81">
        <v>87</v>
      </c>
      <c r="C81">
        <v>4</v>
      </c>
    </row>
    <row r="82" spans="1:3" x14ac:dyDescent="0.25">
      <c r="A82" t="s">
        <v>205</v>
      </c>
      <c r="B82">
        <v>88</v>
      </c>
      <c r="C82">
        <v>4</v>
      </c>
    </row>
    <row r="83" spans="1:3" x14ac:dyDescent="0.25">
      <c r="A83" t="s">
        <v>206</v>
      </c>
      <c r="B83">
        <v>89</v>
      </c>
      <c r="C83">
        <v>4</v>
      </c>
    </row>
    <row r="84" spans="1:3" x14ac:dyDescent="0.25">
      <c r="A84" t="s">
        <v>207</v>
      </c>
      <c r="B84">
        <v>91</v>
      </c>
      <c r="C84">
        <v>4</v>
      </c>
    </row>
    <row r="85" spans="1:3" x14ac:dyDescent="0.25">
      <c r="A85" t="s">
        <v>155</v>
      </c>
      <c r="B85">
        <v>92</v>
      </c>
      <c r="C85">
        <v>4</v>
      </c>
    </row>
    <row r="86" spans="1:3" x14ac:dyDescent="0.25">
      <c r="A86" t="s">
        <v>208</v>
      </c>
      <c r="B86">
        <v>93</v>
      </c>
      <c r="C86">
        <v>4</v>
      </c>
    </row>
    <row r="87" spans="1:3" x14ac:dyDescent="0.25">
      <c r="A87" t="s">
        <v>209</v>
      </c>
      <c r="B87">
        <v>95</v>
      </c>
      <c r="C87">
        <v>4</v>
      </c>
    </row>
    <row r="88" spans="1:3" x14ac:dyDescent="0.25">
      <c r="A88" t="s">
        <v>210</v>
      </c>
      <c r="B88">
        <v>96</v>
      </c>
      <c r="C88">
        <v>4</v>
      </c>
    </row>
    <row r="89" spans="1:3" x14ac:dyDescent="0.25">
      <c r="A89" t="s">
        <v>211</v>
      </c>
      <c r="B89">
        <v>97</v>
      </c>
      <c r="C89">
        <v>4</v>
      </c>
    </row>
    <row r="90" spans="1:3" x14ac:dyDescent="0.25">
      <c r="A90" t="s">
        <v>212</v>
      </c>
      <c r="B90">
        <v>98</v>
      </c>
      <c r="C90">
        <v>4</v>
      </c>
    </row>
    <row r="91" spans="1:3" x14ac:dyDescent="0.25">
      <c r="A91" t="s">
        <v>156</v>
      </c>
      <c r="B91">
        <v>99</v>
      </c>
      <c r="C91">
        <v>4</v>
      </c>
    </row>
    <row r="92" spans="1:3" x14ac:dyDescent="0.25">
      <c r="A92" t="s">
        <v>213</v>
      </c>
      <c r="B92">
        <v>100</v>
      </c>
      <c r="C92">
        <v>4</v>
      </c>
    </row>
    <row r="93" spans="1:3" x14ac:dyDescent="0.25">
      <c r="A93" t="s">
        <v>214</v>
      </c>
      <c r="B93">
        <v>101</v>
      </c>
      <c r="C93">
        <v>4</v>
      </c>
    </row>
    <row r="94" spans="1:3" x14ac:dyDescent="0.25">
      <c r="A94" t="s">
        <v>215</v>
      </c>
      <c r="B94">
        <v>102</v>
      </c>
      <c r="C94">
        <v>4</v>
      </c>
    </row>
    <row r="95" spans="1:3" x14ac:dyDescent="0.25">
      <c r="A95" t="s">
        <v>216</v>
      </c>
      <c r="B95">
        <v>103</v>
      </c>
      <c r="C95">
        <v>4</v>
      </c>
    </row>
    <row r="96" spans="1:3" x14ac:dyDescent="0.25">
      <c r="A96" t="s">
        <v>217</v>
      </c>
      <c r="B96">
        <v>104</v>
      </c>
      <c r="C96">
        <v>4</v>
      </c>
    </row>
    <row r="97" spans="1:3" x14ac:dyDescent="0.25">
      <c r="A97" t="s">
        <v>218</v>
      </c>
      <c r="B97">
        <v>105</v>
      </c>
      <c r="C97">
        <v>4</v>
      </c>
    </row>
    <row r="98" spans="1:3" x14ac:dyDescent="0.25">
      <c r="A98" t="s">
        <v>219</v>
      </c>
      <c r="B98">
        <v>106</v>
      </c>
      <c r="C98">
        <v>4</v>
      </c>
    </row>
    <row r="99" spans="1:3" x14ac:dyDescent="0.25">
      <c r="A99" t="s">
        <v>220</v>
      </c>
      <c r="B99">
        <v>107</v>
      </c>
      <c r="C99">
        <v>4</v>
      </c>
    </row>
    <row r="100" spans="1:3" x14ac:dyDescent="0.25">
      <c r="A100" t="s">
        <v>157</v>
      </c>
      <c r="B100">
        <v>108</v>
      </c>
      <c r="C100">
        <v>4</v>
      </c>
    </row>
    <row r="101" spans="1:3" x14ac:dyDescent="0.25">
      <c r="A101" t="s">
        <v>221</v>
      </c>
      <c r="B101">
        <v>109</v>
      </c>
      <c r="C101">
        <v>4</v>
      </c>
    </row>
    <row r="102" spans="1:3" x14ac:dyDescent="0.25">
      <c r="A102" t="s">
        <v>222</v>
      </c>
      <c r="B102">
        <v>110</v>
      </c>
      <c r="C102">
        <v>4</v>
      </c>
    </row>
    <row r="103" spans="1:3" x14ac:dyDescent="0.25">
      <c r="A103" t="s">
        <v>223</v>
      </c>
      <c r="B103">
        <v>111</v>
      </c>
      <c r="C103">
        <v>4</v>
      </c>
    </row>
    <row r="104" spans="1:3" x14ac:dyDescent="0.25">
      <c r="A104" t="s">
        <v>224</v>
      </c>
      <c r="B104">
        <v>112</v>
      </c>
      <c r="C104">
        <v>4</v>
      </c>
    </row>
    <row r="105" spans="1:3" x14ac:dyDescent="0.25">
      <c r="A105" t="s">
        <v>225</v>
      </c>
      <c r="B105">
        <v>113</v>
      </c>
      <c r="C105">
        <v>4</v>
      </c>
    </row>
    <row r="106" spans="1:3" x14ac:dyDescent="0.25">
      <c r="A106" t="s">
        <v>226</v>
      </c>
      <c r="B106">
        <v>114</v>
      </c>
      <c r="C106">
        <v>4</v>
      </c>
    </row>
    <row r="107" spans="1:3" x14ac:dyDescent="0.25">
      <c r="A107" t="s">
        <v>227</v>
      </c>
      <c r="B107">
        <v>115</v>
      </c>
      <c r="C107">
        <v>4</v>
      </c>
    </row>
    <row r="108" spans="1:3" x14ac:dyDescent="0.25">
      <c r="A108" t="s">
        <v>138</v>
      </c>
      <c r="B108">
        <v>116</v>
      </c>
      <c r="C108">
        <v>4</v>
      </c>
    </row>
    <row r="109" spans="1:3" x14ac:dyDescent="0.25">
      <c r="A109" t="s">
        <v>228</v>
      </c>
      <c r="B109">
        <v>117</v>
      </c>
      <c r="C109">
        <v>4</v>
      </c>
    </row>
    <row r="110" spans="1:3" x14ac:dyDescent="0.25">
      <c r="A110" t="s">
        <v>229</v>
      </c>
      <c r="B110">
        <v>118</v>
      </c>
      <c r="C110">
        <v>4</v>
      </c>
    </row>
    <row r="111" spans="1:3" x14ac:dyDescent="0.25">
      <c r="A111" t="s">
        <v>230</v>
      </c>
      <c r="B111">
        <v>119</v>
      </c>
      <c r="C111">
        <v>4</v>
      </c>
    </row>
    <row r="112" spans="1:3" x14ac:dyDescent="0.25">
      <c r="A112" t="s">
        <v>159</v>
      </c>
      <c r="B112">
        <v>120</v>
      </c>
      <c r="C112">
        <v>4</v>
      </c>
    </row>
    <row r="113" spans="1:3" x14ac:dyDescent="0.25">
      <c r="A113" t="s">
        <v>231</v>
      </c>
      <c r="B113">
        <v>121</v>
      </c>
      <c r="C113">
        <v>4</v>
      </c>
    </row>
    <row r="114" spans="1:3" x14ac:dyDescent="0.25">
      <c r="A114" t="s">
        <v>232</v>
      </c>
      <c r="B114">
        <v>122</v>
      </c>
      <c r="C114">
        <v>4</v>
      </c>
    </row>
    <row r="115" spans="1:3" x14ac:dyDescent="0.25">
      <c r="A115" t="s">
        <v>233</v>
      </c>
      <c r="B115">
        <v>123</v>
      </c>
      <c r="C115">
        <v>4</v>
      </c>
    </row>
    <row r="116" spans="1:3" x14ac:dyDescent="0.25">
      <c r="A116" t="s">
        <v>234</v>
      </c>
      <c r="B116">
        <v>124</v>
      </c>
      <c r="C116">
        <v>4</v>
      </c>
    </row>
    <row r="117" spans="1:3" x14ac:dyDescent="0.25">
      <c r="A117" t="s">
        <v>158</v>
      </c>
      <c r="B117">
        <v>125</v>
      </c>
      <c r="C117">
        <v>4</v>
      </c>
    </row>
    <row r="118" spans="1:3" x14ac:dyDescent="0.25">
      <c r="A118" t="s">
        <v>144</v>
      </c>
      <c r="B118">
        <v>126</v>
      </c>
      <c r="C118">
        <v>4</v>
      </c>
    </row>
    <row r="119" spans="1:3" x14ac:dyDescent="0.25">
      <c r="A119" t="s">
        <v>235</v>
      </c>
      <c r="B119">
        <v>127</v>
      </c>
      <c r="C119">
        <v>4</v>
      </c>
    </row>
    <row r="120" spans="1:3" x14ac:dyDescent="0.25">
      <c r="A120" t="s">
        <v>236</v>
      </c>
      <c r="B120">
        <v>128</v>
      </c>
      <c r="C120">
        <v>4</v>
      </c>
    </row>
    <row r="121" spans="1:3" x14ac:dyDescent="0.25">
      <c r="A121" t="s">
        <v>237</v>
      </c>
      <c r="B121">
        <v>129</v>
      </c>
      <c r="C121">
        <v>4</v>
      </c>
    </row>
    <row r="122" spans="1:3" x14ac:dyDescent="0.25">
      <c r="A122" t="s">
        <v>238</v>
      </c>
      <c r="B122">
        <v>130</v>
      </c>
      <c r="C122">
        <v>4</v>
      </c>
    </row>
    <row r="123" spans="1:3" x14ac:dyDescent="0.25">
      <c r="A123" t="s">
        <v>239</v>
      </c>
      <c r="B123">
        <v>131</v>
      </c>
      <c r="C123">
        <v>4</v>
      </c>
    </row>
    <row r="124" spans="1:3" x14ac:dyDescent="0.25">
      <c r="A124" t="s">
        <v>240</v>
      </c>
      <c r="B124">
        <v>132</v>
      </c>
      <c r="C124">
        <v>4</v>
      </c>
    </row>
    <row r="125" spans="1:3" x14ac:dyDescent="0.25">
      <c r="A125" t="s">
        <v>161</v>
      </c>
      <c r="B125">
        <v>133</v>
      </c>
      <c r="C125">
        <v>4</v>
      </c>
    </row>
    <row r="126" spans="1:3" x14ac:dyDescent="0.25">
      <c r="A126" t="s">
        <v>241</v>
      </c>
      <c r="B126">
        <v>134</v>
      </c>
      <c r="C126">
        <v>4</v>
      </c>
    </row>
    <row r="127" spans="1:3" x14ac:dyDescent="0.25">
      <c r="A127" t="s">
        <v>242</v>
      </c>
      <c r="B127">
        <v>135</v>
      </c>
      <c r="C127">
        <v>4</v>
      </c>
    </row>
    <row r="128" spans="1:3" x14ac:dyDescent="0.25">
      <c r="A128" t="s">
        <v>243</v>
      </c>
      <c r="B128">
        <v>136</v>
      </c>
      <c r="C128">
        <v>4</v>
      </c>
    </row>
    <row r="129" spans="1:3" x14ac:dyDescent="0.25">
      <c r="A129" t="s">
        <v>162</v>
      </c>
      <c r="B129">
        <v>137</v>
      </c>
      <c r="C129">
        <v>4</v>
      </c>
    </row>
    <row r="130" spans="1:3" x14ac:dyDescent="0.25">
      <c r="A130" t="s">
        <v>244</v>
      </c>
      <c r="B130">
        <v>138</v>
      </c>
      <c r="C130">
        <v>4</v>
      </c>
    </row>
    <row r="131" spans="1:3" x14ac:dyDescent="0.25">
      <c r="A131" t="s">
        <v>245</v>
      </c>
      <c r="B131">
        <v>139</v>
      </c>
      <c r="C131">
        <v>4</v>
      </c>
    </row>
    <row r="132" spans="1:3" x14ac:dyDescent="0.25">
      <c r="A132" t="s">
        <v>246</v>
      </c>
      <c r="B132">
        <v>140</v>
      </c>
      <c r="C132">
        <v>4</v>
      </c>
    </row>
    <row r="133" spans="1:3" x14ac:dyDescent="0.25">
      <c r="A133" t="s">
        <v>247</v>
      </c>
      <c r="B133">
        <v>141</v>
      </c>
      <c r="C133">
        <v>4</v>
      </c>
    </row>
    <row r="134" spans="1:3" x14ac:dyDescent="0.25">
      <c r="A134" t="s">
        <v>248</v>
      </c>
      <c r="B134">
        <v>142</v>
      </c>
      <c r="C134">
        <v>4</v>
      </c>
    </row>
    <row r="135" spans="1:3" x14ac:dyDescent="0.25">
      <c r="A135" t="s">
        <v>249</v>
      </c>
      <c r="B135">
        <v>143</v>
      </c>
      <c r="C135">
        <v>4</v>
      </c>
    </row>
    <row r="136" spans="1:3" x14ac:dyDescent="0.25">
      <c r="A136" t="s">
        <v>250</v>
      </c>
      <c r="B136">
        <v>144</v>
      </c>
      <c r="C136">
        <v>4</v>
      </c>
    </row>
    <row r="137" spans="1:3" x14ac:dyDescent="0.25">
      <c r="A137" t="s">
        <v>160</v>
      </c>
      <c r="B137">
        <v>145</v>
      </c>
      <c r="C137">
        <v>4</v>
      </c>
    </row>
    <row r="138" spans="1:3" x14ac:dyDescent="0.25">
      <c r="A138" t="s">
        <v>251</v>
      </c>
      <c r="B138">
        <v>146</v>
      </c>
      <c r="C138">
        <v>4</v>
      </c>
    </row>
    <row r="139" spans="1:3" x14ac:dyDescent="0.25">
      <c r="A139" t="s">
        <v>252</v>
      </c>
      <c r="B139">
        <v>147</v>
      </c>
      <c r="C139">
        <v>4</v>
      </c>
    </row>
    <row r="140" spans="1:3" x14ac:dyDescent="0.25">
      <c r="A140" t="s">
        <v>253</v>
      </c>
      <c r="B140">
        <v>148</v>
      </c>
      <c r="C140">
        <v>4</v>
      </c>
    </row>
    <row r="141" spans="1:3" x14ac:dyDescent="0.25">
      <c r="A141" t="s">
        <v>254</v>
      </c>
      <c r="B141">
        <v>149</v>
      </c>
      <c r="C141">
        <v>4</v>
      </c>
    </row>
    <row r="142" spans="1:3" x14ac:dyDescent="0.25">
      <c r="A142" t="s">
        <v>255</v>
      </c>
      <c r="B142">
        <v>150</v>
      </c>
      <c r="C142">
        <v>4</v>
      </c>
    </row>
    <row r="143" spans="1:3" x14ac:dyDescent="0.25">
      <c r="A143" t="s">
        <v>256</v>
      </c>
      <c r="B143">
        <v>151</v>
      </c>
      <c r="C143">
        <v>4</v>
      </c>
    </row>
    <row r="144" spans="1:3" x14ac:dyDescent="0.25">
      <c r="A144" t="s">
        <v>257</v>
      </c>
      <c r="B144">
        <v>152</v>
      </c>
      <c r="C144">
        <v>4</v>
      </c>
    </row>
    <row r="145" spans="1:3" x14ac:dyDescent="0.25">
      <c r="A145" t="s">
        <v>258</v>
      </c>
      <c r="B145">
        <v>153</v>
      </c>
      <c r="C145">
        <v>4</v>
      </c>
    </row>
    <row r="146" spans="1:3" x14ac:dyDescent="0.25">
      <c r="A146" t="s">
        <v>259</v>
      </c>
      <c r="B146">
        <v>154</v>
      </c>
      <c r="C146">
        <v>4</v>
      </c>
    </row>
    <row r="147" spans="1:3" x14ac:dyDescent="0.25">
      <c r="A147" t="s">
        <v>260</v>
      </c>
      <c r="B147">
        <v>155</v>
      </c>
      <c r="C147">
        <v>4</v>
      </c>
    </row>
    <row r="148" spans="1:3" x14ac:dyDescent="0.25">
      <c r="A148" t="s">
        <v>261</v>
      </c>
      <c r="B148">
        <v>156</v>
      </c>
      <c r="C148">
        <v>4</v>
      </c>
    </row>
    <row r="149" spans="1:3" x14ac:dyDescent="0.25">
      <c r="A149" t="s">
        <v>164</v>
      </c>
      <c r="B149">
        <v>157</v>
      </c>
      <c r="C149">
        <v>4</v>
      </c>
    </row>
    <row r="150" spans="1:3" x14ac:dyDescent="0.25">
      <c r="A150" t="s">
        <v>166</v>
      </c>
      <c r="B150">
        <v>158</v>
      </c>
      <c r="C150">
        <v>4</v>
      </c>
    </row>
    <row r="151" spans="1:3" x14ac:dyDescent="0.25">
      <c r="A151" t="s">
        <v>262</v>
      </c>
      <c r="B151">
        <v>159</v>
      </c>
      <c r="C151">
        <v>4</v>
      </c>
    </row>
    <row r="152" spans="1:3" x14ac:dyDescent="0.25">
      <c r="A152" t="s">
        <v>263</v>
      </c>
      <c r="B152">
        <v>160</v>
      </c>
      <c r="C152">
        <v>4</v>
      </c>
    </row>
    <row r="153" spans="1:3" x14ac:dyDescent="0.25">
      <c r="A153" t="s">
        <v>264</v>
      </c>
      <c r="B153">
        <v>161</v>
      </c>
      <c r="C153">
        <v>4</v>
      </c>
    </row>
    <row r="154" spans="1:3" x14ac:dyDescent="0.25">
      <c r="A154" t="s">
        <v>265</v>
      </c>
      <c r="B154">
        <v>162</v>
      </c>
      <c r="C154">
        <v>4</v>
      </c>
    </row>
    <row r="155" spans="1:3" x14ac:dyDescent="0.25">
      <c r="A155" t="s">
        <v>266</v>
      </c>
      <c r="B155">
        <v>163</v>
      </c>
      <c r="C155">
        <v>4</v>
      </c>
    </row>
    <row r="156" spans="1:3" x14ac:dyDescent="0.25">
      <c r="A156" t="s">
        <v>267</v>
      </c>
      <c r="B156">
        <v>164</v>
      </c>
      <c r="C156">
        <v>4</v>
      </c>
    </row>
    <row r="157" spans="1:3" x14ac:dyDescent="0.25">
      <c r="A157" t="s">
        <v>268</v>
      </c>
      <c r="B157">
        <v>165</v>
      </c>
      <c r="C157">
        <v>4</v>
      </c>
    </row>
    <row r="158" spans="1:3" x14ac:dyDescent="0.25">
      <c r="A158" t="s">
        <v>168</v>
      </c>
      <c r="B158">
        <v>166</v>
      </c>
      <c r="C158">
        <v>4</v>
      </c>
    </row>
    <row r="159" spans="1:3" x14ac:dyDescent="0.25">
      <c r="A159" t="s">
        <v>142</v>
      </c>
      <c r="B159">
        <v>167</v>
      </c>
      <c r="C159">
        <v>4</v>
      </c>
    </row>
    <row r="160" spans="1:3" x14ac:dyDescent="0.25">
      <c r="A160" t="s">
        <v>269</v>
      </c>
      <c r="B160">
        <v>168</v>
      </c>
      <c r="C160">
        <v>4</v>
      </c>
    </row>
    <row r="161" spans="1:3" x14ac:dyDescent="0.25">
      <c r="A161" t="s">
        <v>270</v>
      </c>
      <c r="B161">
        <v>169</v>
      </c>
      <c r="C161">
        <v>4</v>
      </c>
    </row>
    <row r="162" spans="1:3" x14ac:dyDescent="0.25">
      <c r="A162" t="s">
        <v>169</v>
      </c>
      <c r="B162">
        <v>170</v>
      </c>
      <c r="C162">
        <v>4</v>
      </c>
    </row>
    <row r="163" spans="1:3" x14ac:dyDescent="0.25">
      <c r="A163" t="s">
        <v>271</v>
      </c>
      <c r="B163">
        <v>175</v>
      </c>
      <c r="C163">
        <v>4</v>
      </c>
    </row>
    <row r="164" spans="1:3" x14ac:dyDescent="0.25">
      <c r="A164" t="s">
        <v>272</v>
      </c>
      <c r="B164">
        <v>176</v>
      </c>
      <c r="C164">
        <v>4</v>
      </c>
    </row>
    <row r="165" spans="1:3" x14ac:dyDescent="0.25">
      <c r="A165" t="s">
        <v>170</v>
      </c>
      <c r="B165">
        <v>177</v>
      </c>
      <c r="C165">
        <v>4</v>
      </c>
    </row>
    <row r="166" spans="1:3" x14ac:dyDescent="0.25">
      <c r="A166" t="s">
        <v>273</v>
      </c>
      <c r="B166">
        <v>178</v>
      </c>
      <c r="C166">
        <v>4</v>
      </c>
    </row>
    <row r="167" spans="1:3" x14ac:dyDescent="0.25">
      <c r="A167" t="s">
        <v>274</v>
      </c>
      <c r="B167">
        <v>179</v>
      </c>
      <c r="C167">
        <v>4</v>
      </c>
    </row>
    <row r="168" spans="1:3" x14ac:dyDescent="0.25">
      <c r="A168" t="s">
        <v>275</v>
      </c>
      <c r="B168">
        <v>180</v>
      </c>
      <c r="C168">
        <v>4</v>
      </c>
    </row>
    <row r="169" spans="1:3" x14ac:dyDescent="0.25">
      <c r="A169" t="s">
        <v>276</v>
      </c>
      <c r="B169">
        <v>181</v>
      </c>
      <c r="C169">
        <v>4</v>
      </c>
    </row>
    <row r="170" spans="1:3" x14ac:dyDescent="0.25">
      <c r="A170" t="s">
        <v>277</v>
      </c>
      <c r="B170">
        <v>182</v>
      </c>
      <c r="C170">
        <v>4</v>
      </c>
    </row>
    <row r="171" spans="1:3" x14ac:dyDescent="0.25">
      <c r="A171" t="s">
        <v>278</v>
      </c>
      <c r="B171">
        <v>183</v>
      </c>
      <c r="C171">
        <v>4</v>
      </c>
    </row>
    <row r="172" spans="1:3" x14ac:dyDescent="0.25">
      <c r="A172" t="s">
        <v>279</v>
      </c>
      <c r="B172">
        <v>184</v>
      </c>
      <c r="C172">
        <v>4</v>
      </c>
    </row>
    <row r="173" spans="1:3" x14ac:dyDescent="0.25">
      <c r="A173" t="s">
        <v>165</v>
      </c>
      <c r="B173">
        <v>185</v>
      </c>
      <c r="C173">
        <v>4</v>
      </c>
    </row>
    <row r="174" spans="1:3" x14ac:dyDescent="0.25">
      <c r="A174" t="s">
        <v>280</v>
      </c>
      <c r="B174">
        <v>186</v>
      </c>
      <c r="C174">
        <v>4</v>
      </c>
    </row>
    <row r="175" spans="1:3" x14ac:dyDescent="0.25">
      <c r="A175" t="s">
        <v>281</v>
      </c>
      <c r="B175">
        <v>187</v>
      </c>
      <c r="C175">
        <v>4</v>
      </c>
    </row>
    <row r="176" spans="1:3" x14ac:dyDescent="0.25">
      <c r="A176" t="s">
        <v>153</v>
      </c>
      <c r="B176">
        <v>188</v>
      </c>
      <c r="C176">
        <v>4</v>
      </c>
    </row>
    <row r="177" spans="1:3" x14ac:dyDescent="0.25">
      <c r="A177" t="s">
        <v>171</v>
      </c>
      <c r="B177">
        <v>189</v>
      </c>
      <c r="C177">
        <v>4</v>
      </c>
    </row>
    <row r="178" spans="1:3" x14ac:dyDescent="0.25">
      <c r="A178" t="s">
        <v>282</v>
      </c>
      <c r="B178">
        <v>190</v>
      </c>
      <c r="C178">
        <v>4</v>
      </c>
    </row>
    <row r="179" spans="1:3" x14ac:dyDescent="0.25">
      <c r="A179" t="s">
        <v>172</v>
      </c>
      <c r="B179">
        <v>191</v>
      </c>
      <c r="C179">
        <v>4</v>
      </c>
    </row>
    <row r="180" spans="1:3" x14ac:dyDescent="0.25">
      <c r="A180" t="s">
        <v>283</v>
      </c>
      <c r="B180">
        <v>192</v>
      </c>
      <c r="C180">
        <v>4</v>
      </c>
    </row>
    <row r="181" spans="1:3" x14ac:dyDescent="0.25">
      <c r="A181" t="s">
        <v>284</v>
      </c>
      <c r="B181">
        <v>193</v>
      </c>
      <c r="C181">
        <v>4</v>
      </c>
    </row>
    <row r="182" spans="1:3" x14ac:dyDescent="0.25">
      <c r="A182" t="s">
        <v>139</v>
      </c>
      <c r="B182">
        <v>194</v>
      </c>
      <c r="C182">
        <v>4</v>
      </c>
    </row>
    <row r="183" spans="1:3" x14ac:dyDescent="0.25">
      <c r="A183" t="s">
        <v>173</v>
      </c>
      <c r="B183">
        <v>195</v>
      </c>
      <c r="C183">
        <v>4</v>
      </c>
    </row>
    <row r="184" spans="1:3" x14ac:dyDescent="0.25">
      <c r="A184" t="s">
        <v>285</v>
      </c>
      <c r="B184">
        <v>196</v>
      </c>
      <c r="C184">
        <v>4</v>
      </c>
    </row>
    <row r="185" spans="1:3" x14ac:dyDescent="0.25">
      <c r="A185" t="s">
        <v>286</v>
      </c>
      <c r="B185">
        <v>197</v>
      </c>
      <c r="C185">
        <v>4</v>
      </c>
    </row>
    <row r="186" spans="1:3" x14ac:dyDescent="0.25">
      <c r="A186" t="s">
        <v>174</v>
      </c>
      <c r="B186">
        <v>198</v>
      </c>
      <c r="C186">
        <v>4</v>
      </c>
    </row>
    <row r="187" spans="1:3" x14ac:dyDescent="0.25">
      <c r="A187" t="s">
        <v>287</v>
      </c>
      <c r="B187">
        <v>199</v>
      </c>
      <c r="C187">
        <v>4</v>
      </c>
    </row>
    <row r="188" spans="1:3" x14ac:dyDescent="0.25">
      <c r="A188" t="s">
        <v>288</v>
      </c>
      <c r="B188">
        <v>200</v>
      </c>
      <c r="C188">
        <v>2</v>
      </c>
    </row>
    <row r="189" spans="1:3" x14ac:dyDescent="0.25">
      <c r="A189" t="s">
        <v>289</v>
      </c>
      <c r="B189">
        <v>201</v>
      </c>
      <c r="C189">
        <v>2</v>
      </c>
    </row>
    <row r="190" spans="1:3" x14ac:dyDescent="0.25">
      <c r="A190" t="s">
        <v>290</v>
      </c>
      <c r="B190">
        <v>202</v>
      </c>
      <c r="C190">
        <v>3</v>
      </c>
    </row>
    <row r="191" spans="1:3" x14ac:dyDescent="0.25">
      <c r="A191" t="s">
        <v>291</v>
      </c>
      <c r="B191">
        <v>203</v>
      </c>
      <c r="C191">
        <v>3</v>
      </c>
    </row>
    <row r="192" spans="1:3" x14ac:dyDescent="0.25">
      <c r="A192" t="s">
        <v>292</v>
      </c>
      <c r="B192">
        <v>204</v>
      </c>
      <c r="C192">
        <v>3</v>
      </c>
    </row>
    <row r="193" spans="1:3" x14ac:dyDescent="0.25">
      <c r="A193" t="s">
        <v>293</v>
      </c>
      <c r="B193">
        <v>205</v>
      </c>
      <c r="C193">
        <v>3</v>
      </c>
    </row>
    <row r="194" spans="1:3" x14ac:dyDescent="0.25">
      <c r="A194" t="s">
        <v>294</v>
      </c>
      <c r="B194">
        <v>206</v>
      </c>
      <c r="C194">
        <v>3</v>
      </c>
    </row>
    <row r="195" spans="1:3" x14ac:dyDescent="0.25">
      <c r="A195" t="s">
        <v>295</v>
      </c>
      <c r="B195">
        <v>207</v>
      </c>
      <c r="C195">
        <v>3</v>
      </c>
    </row>
    <row r="196" spans="1:3" x14ac:dyDescent="0.25">
      <c r="A196" t="s">
        <v>296</v>
      </c>
      <c r="B196">
        <v>208</v>
      </c>
      <c r="C196">
        <v>3</v>
      </c>
    </row>
    <row r="197" spans="1:3" x14ac:dyDescent="0.25">
      <c r="A197" t="s">
        <v>288</v>
      </c>
      <c r="B197">
        <v>209</v>
      </c>
      <c r="C197">
        <v>3</v>
      </c>
    </row>
    <row r="198" spans="1:3" x14ac:dyDescent="0.25">
      <c r="A198" t="s">
        <v>297</v>
      </c>
      <c r="B198">
        <v>210</v>
      </c>
      <c r="C198">
        <v>3</v>
      </c>
    </row>
    <row r="199" spans="1:3" x14ac:dyDescent="0.25">
      <c r="A199" t="s">
        <v>298</v>
      </c>
      <c r="B199">
        <v>211</v>
      </c>
      <c r="C199">
        <v>3</v>
      </c>
    </row>
    <row r="200" spans="1:3" x14ac:dyDescent="0.25">
      <c r="A200" t="s">
        <v>299</v>
      </c>
      <c r="B200">
        <v>212</v>
      </c>
      <c r="C200">
        <v>3</v>
      </c>
    </row>
    <row r="201" spans="1:3" x14ac:dyDescent="0.25">
      <c r="A201" t="s">
        <v>300</v>
      </c>
      <c r="B201">
        <v>213</v>
      </c>
      <c r="C201">
        <v>3</v>
      </c>
    </row>
    <row r="202" spans="1:3" x14ac:dyDescent="0.25">
      <c r="A202" t="s">
        <v>301</v>
      </c>
      <c r="B202">
        <v>214</v>
      </c>
      <c r="C202">
        <v>3</v>
      </c>
    </row>
    <row r="203" spans="1:3" x14ac:dyDescent="0.25">
      <c r="A203" t="s">
        <v>302</v>
      </c>
      <c r="B203">
        <v>215</v>
      </c>
      <c r="C203">
        <v>3</v>
      </c>
    </row>
    <row r="204" spans="1:3" x14ac:dyDescent="0.25">
      <c r="A204" t="s">
        <v>303</v>
      </c>
      <c r="B204">
        <v>216</v>
      </c>
      <c r="C204">
        <v>3</v>
      </c>
    </row>
    <row r="205" spans="1:3" x14ac:dyDescent="0.25">
      <c r="A205" t="s">
        <v>304</v>
      </c>
      <c r="B205">
        <v>217</v>
      </c>
      <c r="C205">
        <v>3</v>
      </c>
    </row>
    <row r="206" spans="1:3" x14ac:dyDescent="0.25">
      <c r="A206" t="s">
        <v>305</v>
      </c>
      <c r="B206">
        <v>218</v>
      </c>
      <c r="C206">
        <v>3</v>
      </c>
    </row>
    <row r="207" spans="1:3" x14ac:dyDescent="0.25">
      <c r="A207" t="s">
        <v>306</v>
      </c>
      <c r="B207">
        <v>219</v>
      </c>
      <c r="C207">
        <v>3</v>
      </c>
    </row>
    <row r="208" spans="1:3" x14ac:dyDescent="0.25">
      <c r="A208" t="s">
        <v>307</v>
      </c>
      <c r="B208">
        <v>220</v>
      </c>
      <c r="C208">
        <v>3</v>
      </c>
    </row>
    <row r="209" spans="1:3" x14ac:dyDescent="0.25">
      <c r="A209" t="s">
        <v>308</v>
      </c>
      <c r="B209">
        <v>221</v>
      </c>
      <c r="C209">
        <v>3</v>
      </c>
    </row>
    <row r="210" spans="1:3" x14ac:dyDescent="0.25">
      <c r="A210" t="s">
        <v>309</v>
      </c>
      <c r="B210">
        <v>222</v>
      </c>
      <c r="C210">
        <v>3</v>
      </c>
    </row>
    <row r="211" spans="1:3" x14ac:dyDescent="0.25">
      <c r="A211" t="s">
        <v>310</v>
      </c>
      <c r="B211">
        <v>223</v>
      </c>
      <c r="C211">
        <v>3</v>
      </c>
    </row>
    <row r="212" spans="1:3" x14ac:dyDescent="0.25">
      <c r="A212" t="s">
        <v>311</v>
      </c>
      <c r="B212">
        <v>224</v>
      </c>
      <c r="C212">
        <v>3</v>
      </c>
    </row>
    <row r="213" spans="1:3" x14ac:dyDescent="0.25">
      <c r="A213" t="s">
        <v>312</v>
      </c>
      <c r="B213">
        <v>225</v>
      </c>
      <c r="C213">
        <v>3</v>
      </c>
    </row>
    <row r="214" spans="1:3" x14ac:dyDescent="0.25">
      <c r="A214" t="s">
        <v>313</v>
      </c>
      <c r="B214">
        <v>226</v>
      </c>
      <c r="C214">
        <v>3</v>
      </c>
    </row>
    <row r="215" spans="1:3" x14ac:dyDescent="0.25">
      <c r="A215" t="s">
        <v>314</v>
      </c>
      <c r="B215">
        <v>227</v>
      </c>
      <c r="C215">
        <v>3</v>
      </c>
    </row>
    <row r="216" spans="1:3" x14ac:dyDescent="0.25">
      <c r="A216" t="s">
        <v>315</v>
      </c>
      <c r="B216">
        <v>228</v>
      </c>
      <c r="C216">
        <v>3</v>
      </c>
    </row>
    <row r="217" spans="1:3" x14ac:dyDescent="0.25">
      <c r="A217" t="s">
        <v>316</v>
      </c>
      <c r="B217">
        <v>229</v>
      </c>
      <c r="C217">
        <v>3</v>
      </c>
    </row>
    <row r="218" spans="1:3" x14ac:dyDescent="0.25">
      <c r="A218" t="s">
        <v>290</v>
      </c>
      <c r="B218">
        <v>230</v>
      </c>
      <c r="C218">
        <v>4</v>
      </c>
    </row>
    <row r="219" spans="1:3" x14ac:dyDescent="0.25">
      <c r="A219" t="s">
        <v>317</v>
      </c>
      <c r="B219">
        <v>231</v>
      </c>
      <c r="C219">
        <v>4</v>
      </c>
    </row>
    <row r="220" spans="1:3" x14ac:dyDescent="0.25">
      <c r="A220" t="s">
        <v>318</v>
      </c>
      <c r="B220">
        <v>232</v>
      </c>
      <c r="C220">
        <v>4</v>
      </c>
    </row>
    <row r="221" spans="1:3" x14ac:dyDescent="0.25">
      <c r="A221" t="s">
        <v>319</v>
      </c>
      <c r="B221">
        <v>233</v>
      </c>
      <c r="C221">
        <v>4</v>
      </c>
    </row>
    <row r="222" spans="1:3" x14ac:dyDescent="0.25">
      <c r="A222" t="s">
        <v>320</v>
      </c>
      <c r="B222">
        <v>234</v>
      </c>
      <c r="C222">
        <v>4</v>
      </c>
    </row>
    <row r="223" spans="1:3" x14ac:dyDescent="0.25">
      <c r="A223" t="s">
        <v>321</v>
      </c>
      <c r="B223">
        <v>235</v>
      </c>
      <c r="C223">
        <v>4</v>
      </c>
    </row>
    <row r="224" spans="1:3" x14ac:dyDescent="0.25">
      <c r="A224" t="s">
        <v>322</v>
      </c>
      <c r="B224">
        <v>236</v>
      </c>
      <c r="C224">
        <v>4</v>
      </c>
    </row>
    <row r="225" spans="1:3" x14ac:dyDescent="0.25">
      <c r="A225" t="s">
        <v>292</v>
      </c>
      <c r="B225">
        <v>237</v>
      </c>
      <c r="C225">
        <v>4</v>
      </c>
    </row>
    <row r="226" spans="1:3" x14ac:dyDescent="0.25">
      <c r="A226" t="s">
        <v>323</v>
      </c>
      <c r="B226">
        <v>238</v>
      </c>
      <c r="C226">
        <v>4</v>
      </c>
    </row>
    <row r="227" spans="1:3" x14ac:dyDescent="0.25">
      <c r="A227" t="s">
        <v>291</v>
      </c>
      <c r="B227">
        <v>239</v>
      </c>
      <c r="C227">
        <v>4</v>
      </c>
    </row>
    <row r="228" spans="1:3" x14ac:dyDescent="0.25">
      <c r="A228" t="s">
        <v>324</v>
      </c>
      <c r="B228">
        <v>240</v>
      </c>
      <c r="C228">
        <v>4</v>
      </c>
    </row>
    <row r="229" spans="1:3" x14ac:dyDescent="0.25">
      <c r="A229" t="s">
        <v>325</v>
      </c>
      <c r="B229">
        <v>241</v>
      </c>
      <c r="C229">
        <v>4</v>
      </c>
    </row>
    <row r="230" spans="1:3" x14ac:dyDescent="0.25">
      <c r="A230" t="s">
        <v>295</v>
      </c>
      <c r="B230">
        <v>242</v>
      </c>
      <c r="C230">
        <v>4</v>
      </c>
    </row>
    <row r="231" spans="1:3" x14ac:dyDescent="0.25">
      <c r="A231" t="s">
        <v>326</v>
      </c>
      <c r="B231">
        <v>243</v>
      </c>
      <c r="C231">
        <v>4</v>
      </c>
    </row>
    <row r="232" spans="1:3" x14ac:dyDescent="0.25">
      <c r="A232" t="s">
        <v>327</v>
      </c>
      <c r="B232">
        <v>244</v>
      </c>
      <c r="C232">
        <v>4</v>
      </c>
    </row>
    <row r="233" spans="1:3" x14ac:dyDescent="0.25">
      <c r="A233" t="s">
        <v>293</v>
      </c>
      <c r="B233">
        <v>245</v>
      </c>
      <c r="C233">
        <v>4</v>
      </c>
    </row>
    <row r="234" spans="1:3" x14ac:dyDescent="0.25">
      <c r="A234" t="s">
        <v>328</v>
      </c>
      <c r="B234">
        <v>246</v>
      </c>
      <c r="C234">
        <v>4</v>
      </c>
    </row>
    <row r="235" spans="1:3" x14ac:dyDescent="0.25">
      <c r="A235" t="s">
        <v>329</v>
      </c>
      <c r="B235">
        <v>247</v>
      </c>
      <c r="C235">
        <v>4</v>
      </c>
    </row>
    <row r="236" spans="1:3" x14ac:dyDescent="0.25">
      <c r="A236" t="s">
        <v>296</v>
      </c>
      <c r="B236">
        <v>248</v>
      </c>
      <c r="C236">
        <v>4</v>
      </c>
    </row>
    <row r="237" spans="1:3" x14ac:dyDescent="0.25">
      <c r="A237" t="s">
        <v>288</v>
      </c>
      <c r="B237">
        <v>249</v>
      </c>
      <c r="C237">
        <v>4</v>
      </c>
    </row>
    <row r="238" spans="1:3" x14ac:dyDescent="0.25">
      <c r="A238" t="s">
        <v>330</v>
      </c>
      <c r="B238">
        <v>250</v>
      </c>
      <c r="C238">
        <v>4</v>
      </c>
    </row>
    <row r="239" spans="1:3" x14ac:dyDescent="0.25">
      <c r="A239" t="s">
        <v>331</v>
      </c>
      <c r="B239">
        <v>251</v>
      </c>
      <c r="C239">
        <v>4</v>
      </c>
    </row>
    <row r="240" spans="1:3" x14ac:dyDescent="0.25">
      <c r="A240" t="s">
        <v>332</v>
      </c>
      <c r="B240">
        <v>252</v>
      </c>
      <c r="C240">
        <v>4</v>
      </c>
    </row>
    <row r="241" spans="1:3" x14ac:dyDescent="0.25">
      <c r="A241" t="s">
        <v>333</v>
      </c>
      <c r="B241">
        <v>253</v>
      </c>
      <c r="C241">
        <v>4</v>
      </c>
    </row>
    <row r="242" spans="1:3" x14ac:dyDescent="0.25">
      <c r="A242" t="s">
        <v>297</v>
      </c>
      <c r="B242">
        <v>254</v>
      </c>
      <c r="C242">
        <v>4</v>
      </c>
    </row>
    <row r="243" spans="1:3" x14ac:dyDescent="0.25">
      <c r="A243" t="s">
        <v>334</v>
      </c>
      <c r="B243">
        <v>255</v>
      </c>
      <c r="C243">
        <v>4</v>
      </c>
    </row>
    <row r="244" spans="1:3" x14ac:dyDescent="0.25">
      <c r="A244" t="s">
        <v>335</v>
      </c>
      <c r="B244">
        <v>256</v>
      </c>
      <c r="C244">
        <v>4</v>
      </c>
    </row>
    <row r="245" spans="1:3" x14ac:dyDescent="0.25">
      <c r="A245" t="s">
        <v>336</v>
      </c>
      <c r="B245">
        <v>257</v>
      </c>
      <c r="C245">
        <v>4</v>
      </c>
    </row>
    <row r="246" spans="1:3" x14ac:dyDescent="0.25">
      <c r="A246" t="s">
        <v>337</v>
      </c>
      <c r="B246">
        <v>258</v>
      </c>
      <c r="C246">
        <v>4</v>
      </c>
    </row>
    <row r="247" spans="1:3" x14ac:dyDescent="0.25">
      <c r="A247" t="s">
        <v>298</v>
      </c>
      <c r="B247">
        <v>259</v>
      </c>
      <c r="C247">
        <v>4</v>
      </c>
    </row>
    <row r="248" spans="1:3" x14ac:dyDescent="0.25">
      <c r="A248" t="s">
        <v>338</v>
      </c>
      <c r="B248">
        <v>260</v>
      </c>
      <c r="C248">
        <v>4</v>
      </c>
    </row>
    <row r="249" spans="1:3" x14ac:dyDescent="0.25">
      <c r="A249" t="s">
        <v>339</v>
      </c>
      <c r="B249">
        <v>261</v>
      </c>
      <c r="C249">
        <v>4</v>
      </c>
    </row>
    <row r="250" spans="1:3" x14ac:dyDescent="0.25">
      <c r="A250" t="s">
        <v>340</v>
      </c>
      <c r="B250">
        <v>262</v>
      </c>
      <c r="C250">
        <v>4</v>
      </c>
    </row>
    <row r="251" spans="1:3" x14ac:dyDescent="0.25">
      <c r="A251" t="s">
        <v>299</v>
      </c>
      <c r="B251">
        <v>263</v>
      </c>
      <c r="C251">
        <v>4</v>
      </c>
    </row>
    <row r="252" spans="1:3" x14ac:dyDescent="0.25">
      <c r="A252" t="s">
        <v>341</v>
      </c>
      <c r="B252">
        <v>264</v>
      </c>
      <c r="C252">
        <v>4</v>
      </c>
    </row>
    <row r="253" spans="1:3" x14ac:dyDescent="0.25">
      <c r="A253" t="s">
        <v>342</v>
      </c>
      <c r="B253">
        <v>265</v>
      </c>
      <c r="C253">
        <v>4</v>
      </c>
    </row>
    <row r="254" spans="1:3" x14ac:dyDescent="0.25">
      <c r="A254" t="s">
        <v>343</v>
      </c>
      <c r="B254">
        <v>267</v>
      </c>
      <c r="C254">
        <v>4</v>
      </c>
    </row>
    <row r="255" spans="1:3" x14ac:dyDescent="0.25">
      <c r="A255" t="s">
        <v>344</v>
      </c>
      <c r="B255">
        <v>268</v>
      </c>
      <c r="C255">
        <v>4</v>
      </c>
    </row>
    <row r="256" spans="1:3" x14ac:dyDescent="0.25">
      <c r="A256" t="s">
        <v>345</v>
      </c>
      <c r="B256">
        <v>269</v>
      </c>
      <c r="C256">
        <v>4</v>
      </c>
    </row>
    <row r="257" spans="1:3" x14ac:dyDescent="0.25">
      <c r="A257" t="s">
        <v>346</v>
      </c>
      <c r="B257">
        <v>270</v>
      </c>
      <c r="C257">
        <v>4</v>
      </c>
    </row>
    <row r="258" spans="1:3" x14ac:dyDescent="0.25">
      <c r="A258" t="s">
        <v>300</v>
      </c>
      <c r="B258">
        <v>271</v>
      </c>
      <c r="C258">
        <v>4</v>
      </c>
    </row>
    <row r="259" spans="1:3" x14ac:dyDescent="0.25">
      <c r="A259" t="s">
        <v>347</v>
      </c>
      <c r="B259">
        <v>272</v>
      </c>
      <c r="C259">
        <v>4</v>
      </c>
    </row>
    <row r="260" spans="1:3" x14ac:dyDescent="0.25">
      <c r="A260" t="s">
        <v>302</v>
      </c>
      <c r="B260">
        <v>273</v>
      </c>
      <c r="C260">
        <v>4</v>
      </c>
    </row>
    <row r="261" spans="1:3" x14ac:dyDescent="0.25">
      <c r="A261" t="s">
        <v>348</v>
      </c>
      <c r="B261">
        <v>274</v>
      </c>
      <c r="C261">
        <v>4</v>
      </c>
    </row>
    <row r="262" spans="1:3" x14ac:dyDescent="0.25">
      <c r="A262" t="s">
        <v>349</v>
      </c>
      <c r="B262">
        <v>275</v>
      </c>
      <c r="C262">
        <v>4</v>
      </c>
    </row>
    <row r="263" spans="1:3" x14ac:dyDescent="0.25">
      <c r="A263" t="s">
        <v>350</v>
      </c>
      <c r="B263">
        <v>276</v>
      </c>
      <c r="C263">
        <v>4</v>
      </c>
    </row>
    <row r="264" spans="1:3" x14ac:dyDescent="0.25">
      <c r="A264" t="s">
        <v>351</v>
      </c>
      <c r="B264">
        <v>277</v>
      </c>
      <c r="C264">
        <v>4</v>
      </c>
    </row>
    <row r="265" spans="1:3" x14ac:dyDescent="0.25">
      <c r="A265" t="s">
        <v>352</v>
      </c>
      <c r="B265">
        <v>278</v>
      </c>
      <c r="C265">
        <v>4</v>
      </c>
    </row>
    <row r="266" spans="1:3" x14ac:dyDescent="0.25">
      <c r="A266" t="s">
        <v>353</v>
      </c>
      <c r="B266">
        <v>279</v>
      </c>
      <c r="C266">
        <v>4</v>
      </c>
    </row>
    <row r="267" spans="1:3" x14ac:dyDescent="0.25">
      <c r="A267" t="s">
        <v>354</v>
      </c>
      <c r="B267">
        <v>280</v>
      </c>
      <c r="C267">
        <v>4</v>
      </c>
    </row>
    <row r="268" spans="1:3" x14ac:dyDescent="0.25">
      <c r="A268" t="s">
        <v>355</v>
      </c>
      <c r="B268">
        <v>281</v>
      </c>
      <c r="C268">
        <v>4</v>
      </c>
    </row>
    <row r="269" spans="1:3" x14ac:dyDescent="0.25">
      <c r="A269" t="s">
        <v>356</v>
      </c>
      <c r="B269">
        <v>282</v>
      </c>
      <c r="C269">
        <v>4</v>
      </c>
    </row>
    <row r="270" spans="1:3" x14ac:dyDescent="0.25">
      <c r="A270" t="s">
        <v>357</v>
      </c>
      <c r="B270">
        <v>283</v>
      </c>
      <c r="C270">
        <v>4</v>
      </c>
    </row>
    <row r="271" spans="1:3" x14ac:dyDescent="0.25">
      <c r="A271" t="s">
        <v>358</v>
      </c>
      <c r="B271">
        <v>284</v>
      </c>
      <c r="C271">
        <v>4</v>
      </c>
    </row>
    <row r="272" spans="1:3" x14ac:dyDescent="0.25">
      <c r="A272" t="s">
        <v>359</v>
      </c>
      <c r="B272">
        <v>285</v>
      </c>
      <c r="C272">
        <v>4</v>
      </c>
    </row>
    <row r="273" spans="1:3" x14ac:dyDescent="0.25">
      <c r="A273" t="s">
        <v>360</v>
      </c>
      <c r="B273">
        <v>286</v>
      </c>
      <c r="C273">
        <v>4</v>
      </c>
    </row>
    <row r="274" spans="1:3" x14ac:dyDescent="0.25">
      <c r="A274" t="s">
        <v>361</v>
      </c>
      <c r="B274">
        <v>287</v>
      </c>
      <c r="C274">
        <v>4</v>
      </c>
    </row>
    <row r="275" spans="1:3" x14ac:dyDescent="0.25">
      <c r="A275" t="s">
        <v>362</v>
      </c>
      <c r="B275">
        <v>288</v>
      </c>
      <c r="C275">
        <v>4</v>
      </c>
    </row>
    <row r="276" spans="1:3" x14ac:dyDescent="0.25">
      <c r="A276" t="s">
        <v>363</v>
      </c>
      <c r="B276">
        <v>289</v>
      </c>
      <c r="C276">
        <v>4</v>
      </c>
    </row>
    <row r="277" spans="1:3" x14ac:dyDescent="0.25">
      <c r="A277" t="s">
        <v>364</v>
      </c>
      <c r="B277">
        <v>290</v>
      </c>
      <c r="C277">
        <v>4</v>
      </c>
    </row>
    <row r="278" spans="1:3" x14ac:dyDescent="0.25">
      <c r="A278" t="s">
        <v>306</v>
      </c>
      <c r="B278">
        <v>291</v>
      </c>
      <c r="C278">
        <v>4</v>
      </c>
    </row>
    <row r="279" spans="1:3" x14ac:dyDescent="0.25">
      <c r="A279" t="s">
        <v>365</v>
      </c>
      <c r="B279">
        <v>292</v>
      </c>
      <c r="C279">
        <v>4</v>
      </c>
    </row>
    <row r="280" spans="1:3" x14ac:dyDescent="0.25">
      <c r="A280" t="s">
        <v>366</v>
      </c>
      <c r="B280">
        <v>293</v>
      </c>
      <c r="C280">
        <v>4</v>
      </c>
    </row>
    <row r="281" spans="1:3" x14ac:dyDescent="0.25">
      <c r="A281" t="s">
        <v>367</v>
      </c>
      <c r="B281">
        <v>294</v>
      </c>
      <c r="C281">
        <v>4</v>
      </c>
    </row>
    <row r="282" spans="1:3" x14ac:dyDescent="0.25">
      <c r="A282" t="s">
        <v>368</v>
      </c>
      <c r="B282">
        <v>295</v>
      </c>
      <c r="C282">
        <v>4</v>
      </c>
    </row>
    <row r="283" spans="1:3" x14ac:dyDescent="0.25">
      <c r="A283" t="s">
        <v>369</v>
      </c>
      <c r="B283">
        <v>296</v>
      </c>
      <c r="C283">
        <v>4</v>
      </c>
    </row>
    <row r="284" spans="1:3" x14ac:dyDescent="0.25">
      <c r="A284" t="s">
        <v>370</v>
      </c>
      <c r="B284">
        <v>297</v>
      </c>
      <c r="C284">
        <v>4</v>
      </c>
    </row>
    <row r="285" spans="1:3" x14ac:dyDescent="0.25">
      <c r="A285" t="s">
        <v>371</v>
      </c>
      <c r="B285">
        <v>298</v>
      </c>
      <c r="C285">
        <v>4</v>
      </c>
    </row>
    <row r="286" spans="1:3" x14ac:dyDescent="0.25">
      <c r="A286" t="s">
        <v>372</v>
      </c>
      <c r="B286">
        <v>299</v>
      </c>
      <c r="C286">
        <v>4</v>
      </c>
    </row>
    <row r="287" spans="1:3" x14ac:dyDescent="0.25">
      <c r="A287" t="s">
        <v>373</v>
      </c>
      <c r="B287">
        <v>300</v>
      </c>
      <c r="C287">
        <v>4</v>
      </c>
    </row>
    <row r="288" spans="1:3" x14ac:dyDescent="0.25">
      <c r="A288" t="s">
        <v>374</v>
      </c>
      <c r="B288">
        <v>301</v>
      </c>
      <c r="C288">
        <v>4</v>
      </c>
    </row>
    <row r="289" spans="1:3" x14ac:dyDescent="0.25">
      <c r="A289" t="s">
        <v>303</v>
      </c>
      <c r="B289">
        <v>302</v>
      </c>
      <c r="C289">
        <v>4</v>
      </c>
    </row>
    <row r="290" spans="1:3" x14ac:dyDescent="0.25">
      <c r="A290" t="s">
        <v>375</v>
      </c>
      <c r="B290">
        <v>303</v>
      </c>
      <c r="C290">
        <v>4</v>
      </c>
    </row>
    <row r="291" spans="1:3" x14ac:dyDescent="0.25">
      <c r="A291" t="s">
        <v>305</v>
      </c>
      <c r="B291">
        <v>304</v>
      </c>
      <c r="C291">
        <v>4</v>
      </c>
    </row>
    <row r="292" spans="1:3" x14ac:dyDescent="0.25">
      <c r="A292" t="s">
        <v>376</v>
      </c>
      <c r="B292">
        <v>305</v>
      </c>
      <c r="C292">
        <v>4</v>
      </c>
    </row>
    <row r="293" spans="1:3" x14ac:dyDescent="0.25">
      <c r="A293" t="s">
        <v>377</v>
      </c>
      <c r="B293">
        <v>306</v>
      </c>
      <c r="C293">
        <v>4</v>
      </c>
    </row>
    <row r="294" spans="1:3" x14ac:dyDescent="0.25">
      <c r="A294" t="s">
        <v>378</v>
      </c>
      <c r="B294">
        <v>307</v>
      </c>
      <c r="C294">
        <v>4</v>
      </c>
    </row>
    <row r="295" spans="1:3" x14ac:dyDescent="0.25">
      <c r="A295" t="s">
        <v>379</v>
      </c>
      <c r="B295">
        <v>308</v>
      </c>
      <c r="C295">
        <v>4</v>
      </c>
    </row>
    <row r="296" spans="1:3" x14ac:dyDescent="0.25">
      <c r="A296" t="s">
        <v>307</v>
      </c>
      <c r="B296">
        <v>309</v>
      </c>
      <c r="C296">
        <v>4</v>
      </c>
    </row>
    <row r="297" spans="1:3" x14ac:dyDescent="0.25">
      <c r="A297" t="s">
        <v>380</v>
      </c>
      <c r="B297">
        <v>310</v>
      </c>
      <c r="C297">
        <v>4</v>
      </c>
    </row>
    <row r="298" spans="1:3" x14ac:dyDescent="0.25">
      <c r="A298" t="s">
        <v>381</v>
      </c>
      <c r="B298">
        <v>311</v>
      </c>
      <c r="C298">
        <v>4</v>
      </c>
    </row>
    <row r="299" spans="1:3" x14ac:dyDescent="0.25">
      <c r="A299" t="s">
        <v>382</v>
      </c>
      <c r="B299">
        <v>312</v>
      </c>
      <c r="C299">
        <v>4</v>
      </c>
    </row>
    <row r="300" spans="1:3" x14ac:dyDescent="0.25">
      <c r="A300" t="s">
        <v>309</v>
      </c>
      <c r="B300">
        <v>313</v>
      </c>
      <c r="C300">
        <v>4</v>
      </c>
    </row>
    <row r="301" spans="1:3" x14ac:dyDescent="0.25">
      <c r="A301" t="s">
        <v>383</v>
      </c>
      <c r="B301">
        <v>314</v>
      </c>
      <c r="C301">
        <v>4</v>
      </c>
    </row>
    <row r="302" spans="1:3" x14ac:dyDescent="0.25">
      <c r="A302" t="s">
        <v>384</v>
      </c>
      <c r="B302">
        <v>315</v>
      </c>
      <c r="C302">
        <v>4</v>
      </c>
    </row>
    <row r="303" spans="1:3" x14ac:dyDescent="0.25">
      <c r="A303" t="s">
        <v>385</v>
      </c>
      <c r="B303">
        <v>316</v>
      </c>
      <c r="C303">
        <v>4</v>
      </c>
    </row>
    <row r="304" spans="1:3" x14ac:dyDescent="0.25">
      <c r="A304" t="s">
        <v>386</v>
      </c>
      <c r="B304">
        <v>317</v>
      </c>
      <c r="C304">
        <v>4</v>
      </c>
    </row>
    <row r="305" spans="1:3" x14ac:dyDescent="0.25">
      <c r="A305" t="s">
        <v>387</v>
      </c>
      <c r="B305">
        <v>318</v>
      </c>
      <c r="C305">
        <v>4</v>
      </c>
    </row>
    <row r="306" spans="1:3" x14ac:dyDescent="0.25">
      <c r="A306" t="s">
        <v>310</v>
      </c>
      <c r="B306">
        <v>319</v>
      </c>
      <c r="C306">
        <v>4</v>
      </c>
    </row>
    <row r="307" spans="1:3" x14ac:dyDescent="0.25">
      <c r="A307" t="s">
        <v>388</v>
      </c>
      <c r="B307">
        <v>320</v>
      </c>
      <c r="C307">
        <v>4</v>
      </c>
    </row>
    <row r="308" spans="1:3" x14ac:dyDescent="0.25">
      <c r="A308" t="s">
        <v>301</v>
      </c>
      <c r="B308">
        <v>321</v>
      </c>
      <c r="C308">
        <v>4</v>
      </c>
    </row>
    <row r="309" spans="1:3" x14ac:dyDescent="0.25">
      <c r="A309" t="s">
        <v>389</v>
      </c>
      <c r="B309">
        <v>322</v>
      </c>
      <c r="C309">
        <v>4</v>
      </c>
    </row>
    <row r="310" spans="1:3" x14ac:dyDescent="0.25">
      <c r="A310" t="s">
        <v>311</v>
      </c>
      <c r="B310">
        <v>323</v>
      </c>
      <c r="C310">
        <v>4</v>
      </c>
    </row>
    <row r="311" spans="1:3" x14ac:dyDescent="0.25">
      <c r="A311" t="s">
        <v>390</v>
      </c>
      <c r="B311">
        <v>324</v>
      </c>
      <c r="C311">
        <v>4</v>
      </c>
    </row>
    <row r="312" spans="1:3" x14ac:dyDescent="0.25">
      <c r="A312" t="s">
        <v>312</v>
      </c>
      <c r="B312">
        <v>325</v>
      </c>
      <c r="C312">
        <v>4</v>
      </c>
    </row>
    <row r="313" spans="1:3" x14ac:dyDescent="0.25">
      <c r="A313" t="s">
        <v>313</v>
      </c>
      <c r="B313">
        <v>326</v>
      </c>
      <c r="C313">
        <v>4</v>
      </c>
    </row>
    <row r="314" spans="1:3" x14ac:dyDescent="0.25">
      <c r="A314" t="s">
        <v>391</v>
      </c>
      <c r="B314">
        <v>327</v>
      </c>
      <c r="C314">
        <v>4</v>
      </c>
    </row>
    <row r="315" spans="1:3" x14ac:dyDescent="0.25">
      <c r="A315" t="s">
        <v>392</v>
      </c>
      <c r="B315">
        <v>328</v>
      </c>
      <c r="C315">
        <v>4</v>
      </c>
    </row>
    <row r="316" spans="1:3" x14ac:dyDescent="0.25">
      <c r="A316" t="s">
        <v>393</v>
      </c>
      <c r="B316">
        <v>329</v>
      </c>
      <c r="C316">
        <v>4</v>
      </c>
    </row>
    <row r="317" spans="1:3" x14ac:dyDescent="0.25">
      <c r="A317" t="s">
        <v>394</v>
      </c>
      <c r="B317">
        <v>330</v>
      </c>
      <c r="C317">
        <v>4</v>
      </c>
    </row>
    <row r="318" spans="1:3" x14ac:dyDescent="0.25">
      <c r="A318" t="s">
        <v>395</v>
      </c>
      <c r="B318">
        <v>331</v>
      </c>
      <c r="C318">
        <v>4</v>
      </c>
    </row>
    <row r="319" spans="1:3" x14ac:dyDescent="0.25">
      <c r="A319" t="s">
        <v>316</v>
      </c>
      <c r="B319">
        <v>332</v>
      </c>
      <c r="C319">
        <v>4</v>
      </c>
    </row>
    <row r="320" spans="1:3" x14ac:dyDescent="0.25">
      <c r="A320" t="s">
        <v>396</v>
      </c>
      <c r="B320">
        <v>333</v>
      </c>
      <c r="C32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"/>
  <sheetViews>
    <sheetView topLeftCell="A9"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2000</v>
      </c>
      <c r="B2">
        <v>1</v>
      </c>
    </row>
    <row r="3" spans="1:2" x14ac:dyDescent="0.25">
      <c r="A3">
        <v>2001</v>
      </c>
      <c r="B3">
        <v>2</v>
      </c>
    </row>
    <row r="4" spans="1:2" x14ac:dyDescent="0.25">
      <c r="A4">
        <v>2002</v>
      </c>
      <c r="B4">
        <v>3</v>
      </c>
    </row>
    <row r="5" spans="1:2" x14ac:dyDescent="0.25">
      <c r="A5">
        <v>2003</v>
      </c>
      <c r="B5">
        <v>4</v>
      </c>
    </row>
    <row r="6" spans="1:2" x14ac:dyDescent="0.25">
      <c r="A6">
        <v>2004</v>
      </c>
      <c r="B6">
        <v>5</v>
      </c>
    </row>
    <row r="7" spans="1:2" x14ac:dyDescent="0.25">
      <c r="A7">
        <v>2005</v>
      </c>
      <c r="B7">
        <v>6</v>
      </c>
    </row>
    <row r="8" spans="1:2" x14ac:dyDescent="0.25">
      <c r="A8">
        <v>2006</v>
      </c>
      <c r="B8">
        <v>7</v>
      </c>
    </row>
    <row r="9" spans="1:2" x14ac:dyDescent="0.25">
      <c r="A9">
        <v>2007</v>
      </c>
      <c r="B9">
        <v>8</v>
      </c>
    </row>
    <row r="10" spans="1:2" x14ac:dyDescent="0.25">
      <c r="A10">
        <v>2008</v>
      </c>
      <c r="B10">
        <v>9</v>
      </c>
    </row>
    <row r="11" spans="1:2" x14ac:dyDescent="0.25">
      <c r="A11">
        <v>2009</v>
      </c>
      <c r="B11">
        <v>10</v>
      </c>
    </row>
    <row r="12" spans="1:2" x14ac:dyDescent="0.25">
      <c r="A12">
        <v>2010</v>
      </c>
      <c r="B12">
        <v>11</v>
      </c>
    </row>
    <row r="13" spans="1:2" x14ac:dyDescent="0.25">
      <c r="A13">
        <v>2011</v>
      </c>
      <c r="B13">
        <v>12</v>
      </c>
    </row>
    <row r="14" spans="1:2" x14ac:dyDescent="0.25">
      <c r="A14">
        <v>2012</v>
      </c>
      <c r="B14">
        <v>13</v>
      </c>
    </row>
    <row r="15" spans="1:2" x14ac:dyDescent="0.25">
      <c r="A15">
        <v>2013</v>
      </c>
      <c r="B15">
        <v>14</v>
      </c>
    </row>
    <row r="16" spans="1:2" x14ac:dyDescent="0.25">
      <c r="A16">
        <v>2014</v>
      </c>
      <c r="B16">
        <v>15</v>
      </c>
    </row>
    <row r="17" spans="1:2" x14ac:dyDescent="0.25">
      <c r="A17">
        <v>2015</v>
      </c>
      <c r="B17">
        <v>16</v>
      </c>
    </row>
    <row r="18" spans="1:2" x14ac:dyDescent="0.25">
      <c r="A18">
        <v>2016</v>
      </c>
      <c r="B18">
        <v>17</v>
      </c>
    </row>
    <row r="19" spans="1:2" x14ac:dyDescent="0.25">
      <c r="A19">
        <v>2017</v>
      </c>
      <c r="B19">
        <v>18</v>
      </c>
    </row>
    <row r="20" spans="1:2" x14ac:dyDescent="0.25">
      <c r="A20">
        <v>2018</v>
      </c>
      <c r="B20">
        <v>19</v>
      </c>
    </row>
    <row r="21" spans="1:2" x14ac:dyDescent="0.25">
      <c r="A21">
        <v>2019</v>
      </c>
      <c r="B21">
        <v>20</v>
      </c>
    </row>
    <row r="22" spans="1:2" x14ac:dyDescent="0.25">
      <c r="A22">
        <v>2020</v>
      </c>
      <c r="B22">
        <v>21</v>
      </c>
    </row>
    <row r="23" spans="1:2" x14ac:dyDescent="0.25">
      <c r="A23">
        <v>2021</v>
      </c>
      <c r="B23">
        <v>22</v>
      </c>
    </row>
    <row r="24" spans="1:2" x14ac:dyDescent="0.25">
      <c r="A24">
        <v>2022</v>
      </c>
      <c r="B24">
        <v>23</v>
      </c>
    </row>
    <row r="25" spans="1:2" x14ac:dyDescent="0.25">
      <c r="A25">
        <v>2023</v>
      </c>
      <c r="B25">
        <v>24</v>
      </c>
    </row>
    <row r="26" spans="1:2" x14ac:dyDescent="0.25">
      <c r="A26">
        <v>2024</v>
      </c>
      <c r="B26">
        <v>25</v>
      </c>
    </row>
    <row r="27" spans="1:2" x14ac:dyDescent="0.25">
      <c r="A27">
        <v>2025</v>
      </c>
      <c r="B27">
        <v>26</v>
      </c>
    </row>
    <row r="28" spans="1:2" x14ac:dyDescent="0.25">
      <c r="A28">
        <v>2026</v>
      </c>
      <c r="B28">
        <v>27</v>
      </c>
    </row>
    <row r="29" spans="1:2" x14ac:dyDescent="0.25">
      <c r="A29">
        <v>2027</v>
      </c>
      <c r="B29">
        <v>28</v>
      </c>
    </row>
    <row r="30" spans="1:2" x14ac:dyDescent="0.25">
      <c r="A30">
        <v>2028</v>
      </c>
      <c r="B30">
        <v>29</v>
      </c>
    </row>
    <row r="31" spans="1:2" x14ac:dyDescent="0.25">
      <c r="A31">
        <v>2029</v>
      </c>
      <c r="B31">
        <v>30</v>
      </c>
    </row>
    <row r="32" spans="1:2" x14ac:dyDescent="0.25">
      <c r="A32">
        <v>2030</v>
      </c>
      <c r="B32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397</v>
      </c>
      <c r="B2">
        <v>2</v>
      </c>
    </row>
    <row r="3" spans="1:2" x14ac:dyDescent="0.25">
      <c r="A3" t="s">
        <v>398</v>
      </c>
      <c r="B3">
        <v>1</v>
      </c>
    </row>
    <row r="4" spans="1:2" x14ac:dyDescent="0.25">
      <c r="A4" t="s">
        <v>399</v>
      </c>
      <c r="B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400</v>
      </c>
      <c r="B2">
        <v>1</v>
      </c>
    </row>
    <row r="3" spans="1:2" x14ac:dyDescent="0.25">
      <c r="A3" t="s">
        <v>401</v>
      </c>
      <c r="B3">
        <v>2</v>
      </c>
    </row>
    <row r="4" spans="1:2" x14ac:dyDescent="0.25">
      <c r="A4" t="s">
        <v>402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E7DF-4BE7-4239-8FF0-FEF9340A07D5}">
  <dimension ref="A1:K341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  <col min="2" max="2" width="126" style="1" bestFit="1" customWidth="1"/>
    <col min="5" max="5" width="79.42578125" bestFit="1" customWidth="1"/>
    <col min="7" max="7" width="18.85546875" bestFit="1" customWidth="1"/>
  </cols>
  <sheetData>
    <row r="1" spans="1:11" x14ac:dyDescent="0.25">
      <c r="A1" t="s">
        <v>403</v>
      </c>
      <c r="B1" s="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K1" t="s">
        <v>412</v>
      </c>
    </row>
    <row r="2" spans="1:11" x14ac:dyDescent="0.25">
      <c r="A2" t="s">
        <v>413</v>
      </c>
      <c r="B2" s="2" t="s">
        <v>2</v>
      </c>
      <c r="C2" s="4" t="s">
        <v>136</v>
      </c>
      <c r="D2" t="s">
        <v>125</v>
      </c>
      <c r="E2" t="s">
        <v>78</v>
      </c>
      <c r="F2" s="4" t="s">
        <v>399</v>
      </c>
      <c r="G2" s="4" t="s">
        <v>400</v>
      </c>
      <c r="H2">
        <v>2025</v>
      </c>
      <c r="I2">
        <v>39.340000000000003</v>
      </c>
      <c r="K2" t="s">
        <v>77</v>
      </c>
    </row>
    <row r="3" spans="1:11" x14ac:dyDescent="0.25">
      <c r="A3" t="s">
        <v>414</v>
      </c>
      <c r="B3" s="2" t="s">
        <v>3</v>
      </c>
      <c r="C3" s="4" t="s">
        <v>136</v>
      </c>
      <c r="D3" t="s">
        <v>125</v>
      </c>
      <c r="E3" t="s">
        <v>78</v>
      </c>
      <c r="F3" s="4" t="s">
        <v>399</v>
      </c>
      <c r="G3" s="4" t="s">
        <v>400</v>
      </c>
      <c r="H3">
        <v>2025</v>
      </c>
      <c r="I3">
        <v>68.2</v>
      </c>
      <c r="K3" t="s">
        <v>77</v>
      </c>
    </row>
    <row r="4" spans="1:11" x14ac:dyDescent="0.25">
      <c r="A4" t="s">
        <v>415</v>
      </c>
      <c r="B4" s="2" t="s">
        <v>4</v>
      </c>
      <c r="C4" s="4" t="s">
        <v>136</v>
      </c>
      <c r="D4" t="s">
        <v>126</v>
      </c>
      <c r="E4" t="s">
        <v>79</v>
      </c>
      <c r="F4" s="4" t="s">
        <v>399</v>
      </c>
      <c r="G4" s="4" t="s">
        <v>400</v>
      </c>
      <c r="H4">
        <v>2025</v>
      </c>
      <c r="I4">
        <v>65.92</v>
      </c>
      <c r="K4" t="s">
        <v>77</v>
      </c>
    </row>
    <row r="5" spans="1:11" x14ac:dyDescent="0.25">
      <c r="A5" t="s">
        <v>416</v>
      </c>
      <c r="B5" s="2" t="s">
        <v>5</v>
      </c>
      <c r="C5" s="4" t="s">
        <v>136</v>
      </c>
      <c r="D5" t="s">
        <v>125</v>
      </c>
      <c r="E5" t="s">
        <v>78</v>
      </c>
      <c r="F5" s="4" t="s">
        <v>399</v>
      </c>
      <c r="G5" s="4" t="s">
        <v>400</v>
      </c>
      <c r="H5">
        <v>2025</v>
      </c>
      <c r="I5">
        <v>82.5</v>
      </c>
      <c r="K5" t="s">
        <v>77</v>
      </c>
    </row>
    <row r="6" spans="1:11" x14ac:dyDescent="0.25">
      <c r="A6" t="s">
        <v>417</v>
      </c>
      <c r="B6" s="2" t="s">
        <v>6</v>
      </c>
      <c r="C6" s="4" t="s">
        <v>136</v>
      </c>
      <c r="D6" t="s">
        <v>125</v>
      </c>
      <c r="E6" t="s">
        <v>80</v>
      </c>
      <c r="F6" s="4" t="s">
        <v>399</v>
      </c>
      <c r="G6" s="4" t="s">
        <v>400</v>
      </c>
      <c r="H6">
        <v>2025</v>
      </c>
      <c r="I6">
        <v>16.5</v>
      </c>
      <c r="K6" t="s">
        <v>77</v>
      </c>
    </row>
    <row r="7" spans="1:11" x14ac:dyDescent="0.25">
      <c r="A7" t="s">
        <v>418</v>
      </c>
      <c r="B7" s="2" t="s">
        <v>7</v>
      </c>
      <c r="C7" s="4" t="s">
        <v>136</v>
      </c>
      <c r="D7" t="s">
        <v>125</v>
      </c>
      <c r="E7" t="s">
        <v>81</v>
      </c>
      <c r="F7" s="4" t="s">
        <v>399</v>
      </c>
      <c r="G7" s="4" t="s">
        <v>400</v>
      </c>
      <c r="H7">
        <v>2025</v>
      </c>
      <c r="I7">
        <v>54.49</v>
      </c>
      <c r="K7" t="s">
        <v>77</v>
      </c>
    </row>
    <row r="8" spans="1:11" x14ac:dyDescent="0.25">
      <c r="A8" t="s">
        <v>419</v>
      </c>
      <c r="B8" s="2" t="s">
        <v>8</v>
      </c>
      <c r="C8" s="4" t="s">
        <v>136</v>
      </c>
      <c r="D8" t="s">
        <v>125</v>
      </c>
      <c r="E8" t="s">
        <v>82</v>
      </c>
      <c r="F8" s="4" t="s">
        <v>399</v>
      </c>
      <c r="G8" s="4" t="s">
        <v>400</v>
      </c>
      <c r="H8">
        <v>2025</v>
      </c>
      <c r="I8">
        <v>30.95</v>
      </c>
      <c r="K8" t="s">
        <v>77</v>
      </c>
    </row>
    <row r="9" spans="1:11" x14ac:dyDescent="0.25">
      <c r="A9" t="s">
        <v>420</v>
      </c>
      <c r="B9" s="2" t="s">
        <v>9</v>
      </c>
      <c r="C9" s="4" t="s">
        <v>136</v>
      </c>
      <c r="D9" t="s">
        <v>125</v>
      </c>
      <c r="E9" t="s">
        <v>82</v>
      </c>
      <c r="F9" s="4" t="s">
        <v>399</v>
      </c>
      <c r="G9" s="4" t="s">
        <v>400</v>
      </c>
      <c r="H9">
        <v>2025</v>
      </c>
      <c r="I9">
        <v>20</v>
      </c>
      <c r="K9" t="s">
        <v>77</v>
      </c>
    </row>
    <row r="10" spans="1:11" x14ac:dyDescent="0.25">
      <c r="A10" t="s">
        <v>421</v>
      </c>
      <c r="B10" s="2" t="s">
        <v>10</v>
      </c>
      <c r="C10" s="4" t="s">
        <v>136</v>
      </c>
      <c r="D10" t="s">
        <v>125</v>
      </c>
      <c r="E10" t="s">
        <v>78</v>
      </c>
      <c r="F10" s="4" t="s">
        <v>399</v>
      </c>
      <c r="G10" s="4" t="s">
        <v>400</v>
      </c>
      <c r="H10">
        <v>2025</v>
      </c>
      <c r="I10">
        <v>13.4</v>
      </c>
      <c r="K10" t="s">
        <v>77</v>
      </c>
    </row>
    <row r="11" spans="1:11" x14ac:dyDescent="0.25">
      <c r="A11" t="s">
        <v>422</v>
      </c>
      <c r="B11" s="2" t="s">
        <v>11</v>
      </c>
      <c r="C11" s="4" t="s">
        <v>136</v>
      </c>
      <c r="D11" t="s">
        <v>125</v>
      </c>
      <c r="E11" t="s">
        <v>78</v>
      </c>
      <c r="F11" s="4" t="s">
        <v>399</v>
      </c>
      <c r="G11" s="4" t="s">
        <v>400</v>
      </c>
      <c r="H11">
        <v>2025</v>
      </c>
      <c r="I11">
        <v>73.5</v>
      </c>
      <c r="K11" t="s">
        <v>77</v>
      </c>
    </row>
    <row r="12" spans="1:11" x14ac:dyDescent="0.25">
      <c r="A12" t="s">
        <v>423</v>
      </c>
      <c r="B12" s="2" t="s">
        <v>12</v>
      </c>
      <c r="C12" s="4" t="s">
        <v>136</v>
      </c>
      <c r="D12" s="4" t="s">
        <v>125</v>
      </c>
      <c r="E12" t="s">
        <v>83</v>
      </c>
      <c r="F12" s="4" t="s">
        <v>399</v>
      </c>
      <c r="G12" s="4" t="s">
        <v>400</v>
      </c>
      <c r="H12">
        <v>2025</v>
      </c>
      <c r="I12">
        <v>76</v>
      </c>
      <c r="K12" t="s">
        <v>77</v>
      </c>
    </row>
    <row r="13" spans="1:11" x14ac:dyDescent="0.25">
      <c r="A13" t="s">
        <v>424</v>
      </c>
      <c r="B13" s="2" t="s">
        <v>13</v>
      </c>
      <c r="C13" s="4" t="s">
        <v>136</v>
      </c>
      <c r="D13" t="s">
        <v>127</v>
      </c>
      <c r="E13" t="s">
        <v>84</v>
      </c>
      <c r="F13" s="4" t="s">
        <v>399</v>
      </c>
      <c r="G13" s="4" t="s">
        <v>400</v>
      </c>
      <c r="H13">
        <v>2025</v>
      </c>
      <c r="I13">
        <v>18</v>
      </c>
      <c r="K13" t="s">
        <v>77</v>
      </c>
    </row>
    <row r="14" spans="1:11" x14ac:dyDescent="0.25">
      <c r="A14" t="s">
        <v>425</v>
      </c>
      <c r="B14" s="2" t="s">
        <v>14</v>
      </c>
      <c r="C14" s="4" t="s">
        <v>136</v>
      </c>
      <c r="D14" t="s">
        <v>125</v>
      </c>
      <c r="E14" t="s">
        <v>84</v>
      </c>
      <c r="F14" s="4" t="s">
        <v>399</v>
      </c>
      <c r="G14" s="4" t="s">
        <v>400</v>
      </c>
      <c r="H14">
        <v>2025</v>
      </c>
      <c r="I14">
        <v>70.150000000000006</v>
      </c>
      <c r="K14" t="s">
        <v>77</v>
      </c>
    </row>
    <row r="15" spans="1:11" x14ac:dyDescent="0.25">
      <c r="A15" t="s">
        <v>426</v>
      </c>
      <c r="B15" s="2" t="s">
        <v>15</v>
      </c>
      <c r="C15" s="4" t="s">
        <v>136</v>
      </c>
      <c r="D15" t="s">
        <v>125</v>
      </c>
      <c r="E15" t="s">
        <v>78</v>
      </c>
      <c r="F15" s="4" t="s">
        <v>399</v>
      </c>
      <c r="G15" s="4" t="s">
        <v>400</v>
      </c>
      <c r="H15">
        <v>2025</v>
      </c>
      <c r="I15">
        <v>43.4</v>
      </c>
      <c r="K15" t="s">
        <v>77</v>
      </c>
    </row>
    <row r="16" spans="1:11" x14ac:dyDescent="0.25">
      <c r="A16" t="s">
        <v>427</v>
      </c>
      <c r="B16" s="2" t="s">
        <v>16</v>
      </c>
      <c r="C16" s="4" t="s">
        <v>136</v>
      </c>
      <c r="D16" t="s">
        <v>128</v>
      </c>
      <c r="E16" t="s">
        <v>85</v>
      </c>
      <c r="F16" s="4" t="s">
        <v>399</v>
      </c>
      <c r="G16" s="4" t="s">
        <v>400</v>
      </c>
      <c r="H16">
        <v>2025</v>
      </c>
      <c r="I16">
        <v>3</v>
      </c>
      <c r="K16" t="s">
        <v>77</v>
      </c>
    </row>
    <row r="17" spans="1:11" x14ac:dyDescent="0.25">
      <c r="A17" t="s">
        <v>428</v>
      </c>
      <c r="B17" s="2" t="s">
        <v>17</v>
      </c>
      <c r="C17" s="4" t="s">
        <v>136</v>
      </c>
      <c r="D17" t="s">
        <v>125</v>
      </c>
      <c r="E17" t="s">
        <v>86</v>
      </c>
      <c r="F17" s="4" t="s">
        <v>399</v>
      </c>
      <c r="G17" s="4" t="s">
        <v>400</v>
      </c>
      <c r="H17">
        <v>2025</v>
      </c>
      <c r="I17">
        <v>60</v>
      </c>
      <c r="K17" t="s">
        <v>77</v>
      </c>
    </row>
    <row r="18" spans="1:11" x14ac:dyDescent="0.25">
      <c r="A18" t="s">
        <v>429</v>
      </c>
      <c r="B18" s="3" t="s">
        <v>18</v>
      </c>
      <c r="C18" s="4" t="s">
        <v>136</v>
      </c>
      <c r="D18" t="s">
        <v>125</v>
      </c>
      <c r="E18" t="s">
        <v>87</v>
      </c>
      <c r="F18" s="4" t="s">
        <v>399</v>
      </c>
      <c r="G18" s="4" t="s">
        <v>400</v>
      </c>
      <c r="H18">
        <v>2025</v>
      </c>
      <c r="I18">
        <v>74</v>
      </c>
      <c r="K18" t="s">
        <v>77</v>
      </c>
    </row>
    <row r="19" spans="1:11" x14ac:dyDescent="0.25">
      <c r="A19" t="s">
        <v>430</v>
      </c>
      <c r="B19" s="2" t="s">
        <v>19</v>
      </c>
      <c r="C19" s="4" t="s">
        <v>136</v>
      </c>
      <c r="D19" t="s">
        <v>125</v>
      </c>
      <c r="E19" t="s">
        <v>84</v>
      </c>
      <c r="F19" s="4" t="s">
        <v>399</v>
      </c>
      <c r="G19" s="4" t="s">
        <v>400</v>
      </c>
      <c r="H19">
        <v>2025</v>
      </c>
      <c r="I19">
        <v>75</v>
      </c>
      <c r="K19" t="s">
        <v>77</v>
      </c>
    </row>
    <row r="20" spans="1:11" x14ac:dyDescent="0.25">
      <c r="A20" t="s">
        <v>431</v>
      </c>
      <c r="B20" s="2" t="s">
        <v>20</v>
      </c>
      <c r="C20" s="4" t="s">
        <v>136</v>
      </c>
      <c r="D20" t="s">
        <v>125</v>
      </c>
      <c r="E20" t="s">
        <v>84</v>
      </c>
      <c r="F20" s="4" t="s">
        <v>399</v>
      </c>
      <c r="G20" s="4" t="s">
        <v>400</v>
      </c>
      <c r="H20">
        <v>2025</v>
      </c>
      <c r="I20">
        <v>35</v>
      </c>
      <c r="K20" t="s">
        <v>77</v>
      </c>
    </row>
    <row r="21" spans="1:11" x14ac:dyDescent="0.25">
      <c r="A21" t="s">
        <v>432</v>
      </c>
      <c r="B21" s="2" t="s">
        <v>21</v>
      </c>
      <c r="C21" s="4" t="s">
        <v>136</v>
      </c>
      <c r="D21" t="s">
        <v>125</v>
      </c>
      <c r="E21" t="s">
        <v>88</v>
      </c>
      <c r="F21" s="4" t="s">
        <v>399</v>
      </c>
      <c r="G21" s="4" t="s">
        <v>400</v>
      </c>
      <c r="H21">
        <v>2025</v>
      </c>
      <c r="I21">
        <v>80</v>
      </c>
      <c r="K21" t="s">
        <v>77</v>
      </c>
    </row>
    <row r="22" spans="1:11" x14ac:dyDescent="0.25">
      <c r="A22" t="s">
        <v>433</v>
      </c>
      <c r="B22" s="3" t="s">
        <v>22</v>
      </c>
      <c r="C22" s="4" t="s">
        <v>136</v>
      </c>
      <c r="D22" t="s">
        <v>129</v>
      </c>
      <c r="E22" t="s">
        <v>89</v>
      </c>
      <c r="F22" s="4" t="s">
        <v>399</v>
      </c>
      <c r="G22" s="4" t="s">
        <v>400</v>
      </c>
      <c r="H22">
        <v>2025</v>
      </c>
      <c r="I22">
        <v>90</v>
      </c>
      <c r="K22" t="s">
        <v>77</v>
      </c>
    </row>
    <row r="23" spans="1:11" x14ac:dyDescent="0.25">
      <c r="A23" t="s">
        <v>434</v>
      </c>
      <c r="B23" s="2" t="s">
        <v>23</v>
      </c>
      <c r="C23" s="4" t="s">
        <v>136</v>
      </c>
      <c r="D23" t="s">
        <v>125</v>
      </c>
      <c r="E23" t="s">
        <v>90</v>
      </c>
      <c r="F23" s="4" t="s">
        <v>399</v>
      </c>
      <c r="G23" s="4" t="s">
        <v>400</v>
      </c>
      <c r="H23">
        <v>2025</v>
      </c>
      <c r="I23">
        <v>6.6</v>
      </c>
      <c r="K23" t="s">
        <v>77</v>
      </c>
    </row>
    <row r="24" spans="1:11" x14ac:dyDescent="0.25">
      <c r="A24" t="s">
        <v>435</v>
      </c>
      <c r="B24" s="2" t="s">
        <v>24</v>
      </c>
      <c r="C24" s="4" t="s">
        <v>136</v>
      </c>
      <c r="D24" t="s">
        <v>130</v>
      </c>
      <c r="E24" t="s">
        <v>78</v>
      </c>
      <c r="F24" s="4" t="s">
        <v>399</v>
      </c>
      <c r="G24" s="4" t="s">
        <v>400</v>
      </c>
      <c r="H24">
        <v>2025</v>
      </c>
      <c r="I24">
        <v>0.30599999999999999</v>
      </c>
      <c r="K24" t="s">
        <v>77</v>
      </c>
    </row>
    <row r="25" spans="1:11" x14ac:dyDescent="0.25">
      <c r="A25" t="s">
        <v>436</v>
      </c>
      <c r="B25" s="2" t="s">
        <v>25</v>
      </c>
      <c r="C25" s="4" t="s">
        <v>136</v>
      </c>
      <c r="D25" t="s">
        <v>125</v>
      </c>
      <c r="E25" t="s">
        <v>91</v>
      </c>
      <c r="F25" s="4" t="s">
        <v>399</v>
      </c>
      <c r="G25" s="4" t="s">
        <v>400</v>
      </c>
      <c r="H25">
        <v>2025</v>
      </c>
      <c r="I25">
        <v>92</v>
      </c>
      <c r="K25" t="s">
        <v>77</v>
      </c>
    </row>
    <row r="26" spans="1:11" x14ac:dyDescent="0.25">
      <c r="A26" t="s">
        <v>437</v>
      </c>
      <c r="B26" s="2" t="s">
        <v>26</v>
      </c>
      <c r="C26" s="4" t="s">
        <v>136</v>
      </c>
      <c r="D26" t="s">
        <v>125</v>
      </c>
      <c r="E26" t="s">
        <v>92</v>
      </c>
      <c r="F26" s="4" t="s">
        <v>399</v>
      </c>
      <c r="G26" s="4" t="s">
        <v>400</v>
      </c>
      <c r="H26">
        <v>2025</v>
      </c>
      <c r="I26">
        <v>50</v>
      </c>
      <c r="K26" t="s">
        <v>77</v>
      </c>
    </row>
    <row r="27" spans="1:11" x14ac:dyDescent="0.25">
      <c r="A27" t="s">
        <v>438</v>
      </c>
      <c r="B27" s="3" t="s">
        <v>27</v>
      </c>
      <c r="C27" s="4" t="s">
        <v>136</v>
      </c>
      <c r="D27" t="s">
        <v>125</v>
      </c>
      <c r="E27" t="s">
        <v>93</v>
      </c>
      <c r="F27" s="4" t="s">
        <v>399</v>
      </c>
      <c r="G27" s="4" t="s">
        <v>400</v>
      </c>
      <c r="H27">
        <v>2025</v>
      </c>
      <c r="I27">
        <v>8.4</v>
      </c>
      <c r="K27" t="s">
        <v>77</v>
      </c>
    </row>
    <row r="28" spans="1:11" x14ac:dyDescent="0.25">
      <c r="A28" t="s">
        <v>439</v>
      </c>
      <c r="B28" s="2" t="s">
        <v>29</v>
      </c>
      <c r="C28" s="4" t="s">
        <v>136</v>
      </c>
      <c r="D28" t="s">
        <v>125</v>
      </c>
      <c r="E28" t="s">
        <v>95</v>
      </c>
      <c r="F28" s="4" t="s">
        <v>399</v>
      </c>
      <c r="G28" s="4" t="s">
        <v>400</v>
      </c>
      <c r="H28">
        <v>2025</v>
      </c>
      <c r="I28">
        <v>9.1999999999999993</v>
      </c>
      <c r="K28" t="s">
        <v>77</v>
      </c>
    </row>
    <row r="29" spans="1:11" x14ac:dyDescent="0.25">
      <c r="A29" t="s">
        <v>440</v>
      </c>
      <c r="B29" s="2" t="s">
        <v>30</v>
      </c>
      <c r="C29" s="4" t="s">
        <v>136</v>
      </c>
      <c r="D29" t="s">
        <v>125</v>
      </c>
      <c r="E29" t="s">
        <v>90</v>
      </c>
      <c r="F29" s="4" t="s">
        <v>399</v>
      </c>
      <c r="G29" s="4" t="s">
        <v>400</v>
      </c>
      <c r="H29">
        <v>2025</v>
      </c>
      <c r="I29">
        <v>29</v>
      </c>
      <c r="K29" t="s">
        <v>77</v>
      </c>
    </row>
    <row r="30" spans="1:11" x14ac:dyDescent="0.25">
      <c r="A30" t="s">
        <v>441</v>
      </c>
      <c r="B30" s="2" t="s">
        <v>31</v>
      </c>
      <c r="C30" s="4" t="s">
        <v>136</v>
      </c>
      <c r="D30" t="s">
        <v>125</v>
      </c>
      <c r="E30" t="s">
        <v>96</v>
      </c>
      <c r="F30" s="4" t="s">
        <v>399</v>
      </c>
      <c r="G30" s="4" t="s">
        <v>400</v>
      </c>
      <c r="H30">
        <v>2025</v>
      </c>
      <c r="I30">
        <v>43</v>
      </c>
      <c r="K30" t="s">
        <v>77</v>
      </c>
    </row>
    <row r="31" spans="1:11" x14ac:dyDescent="0.25">
      <c r="A31" t="s">
        <v>442</v>
      </c>
      <c r="B31" s="3" t="s">
        <v>32</v>
      </c>
      <c r="C31" s="4" t="s">
        <v>136</v>
      </c>
      <c r="D31" t="s">
        <v>125</v>
      </c>
      <c r="E31" t="s">
        <v>96</v>
      </c>
      <c r="F31" s="4" t="s">
        <v>399</v>
      </c>
      <c r="G31" s="4" t="s">
        <v>400</v>
      </c>
      <c r="H31">
        <v>2025</v>
      </c>
      <c r="I31">
        <v>10</v>
      </c>
      <c r="K31" t="s">
        <v>77</v>
      </c>
    </row>
    <row r="32" spans="1:11" x14ac:dyDescent="0.25">
      <c r="A32" t="s">
        <v>443</v>
      </c>
      <c r="B32" s="3" t="s">
        <v>33</v>
      </c>
      <c r="C32" s="4" t="s">
        <v>136</v>
      </c>
      <c r="D32" t="s">
        <v>125</v>
      </c>
      <c r="E32" t="s">
        <v>96</v>
      </c>
      <c r="F32" s="4" t="s">
        <v>399</v>
      </c>
      <c r="G32" s="4" t="s">
        <v>400</v>
      </c>
      <c r="H32">
        <v>2025</v>
      </c>
      <c r="I32">
        <v>5</v>
      </c>
      <c r="K32" t="s">
        <v>77</v>
      </c>
    </row>
    <row r="33" spans="1:11" x14ac:dyDescent="0.25">
      <c r="A33" t="s">
        <v>444</v>
      </c>
      <c r="B33" s="2" t="s">
        <v>34</v>
      </c>
      <c r="C33" s="4" t="s">
        <v>136</v>
      </c>
      <c r="D33" t="s">
        <v>125</v>
      </c>
      <c r="E33" t="s">
        <v>90</v>
      </c>
      <c r="F33" s="4" t="s">
        <v>399</v>
      </c>
      <c r="G33" s="4" t="s">
        <v>400</v>
      </c>
      <c r="H33">
        <v>2025</v>
      </c>
      <c r="I33">
        <v>7</v>
      </c>
      <c r="K33" t="s">
        <v>77</v>
      </c>
    </row>
    <row r="34" spans="1:11" x14ac:dyDescent="0.25">
      <c r="A34" t="s">
        <v>445</v>
      </c>
      <c r="B34" s="2" t="s">
        <v>35</v>
      </c>
      <c r="C34" s="4" t="s">
        <v>136</v>
      </c>
      <c r="D34" t="s">
        <v>125</v>
      </c>
      <c r="E34" t="s">
        <v>97</v>
      </c>
      <c r="F34" s="4" t="s">
        <v>399</v>
      </c>
      <c r="G34" s="4" t="s">
        <v>400</v>
      </c>
      <c r="H34">
        <v>2025</v>
      </c>
      <c r="I34">
        <v>40.299999999999997</v>
      </c>
      <c r="K34" t="s">
        <v>77</v>
      </c>
    </row>
    <row r="35" spans="1:11" x14ac:dyDescent="0.25">
      <c r="A35" t="s">
        <v>446</v>
      </c>
      <c r="B35" s="2" t="s">
        <v>36</v>
      </c>
      <c r="C35" s="4" t="s">
        <v>136</v>
      </c>
      <c r="D35" t="s">
        <v>125</v>
      </c>
      <c r="E35" t="s">
        <v>98</v>
      </c>
      <c r="F35" s="4" t="s">
        <v>399</v>
      </c>
      <c r="G35" s="4" t="s">
        <v>400</v>
      </c>
      <c r="H35">
        <v>2025</v>
      </c>
      <c r="I35">
        <v>18.7</v>
      </c>
      <c r="K35" t="s">
        <v>77</v>
      </c>
    </row>
    <row r="36" spans="1:11" x14ac:dyDescent="0.25">
      <c r="A36" t="s">
        <v>447</v>
      </c>
      <c r="B36" s="2" t="s">
        <v>37</v>
      </c>
      <c r="C36" s="4" t="s">
        <v>136</v>
      </c>
      <c r="D36" t="s">
        <v>125</v>
      </c>
      <c r="E36" t="s">
        <v>99</v>
      </c>
      <c r="F36" s="4" t="s">
        <v>399</v>
      </c>
      <c r="G36" s="4" t="s">
        <v>400</v>
      </c>
      <c r="H36">
        <v>2025</v>
      </c>
      <c r="I36">
        <v>34</v>
      </c>
      <c r="K36" t="s">
        <v>77</v>
      </c>
    </row>
    <row r="37" spans="1:11" x14ac:dyDescent="0.25">
      <c r="A37" t="s">
        <v>448</v>
      </c>
      <c r="B37" s="2" t="s">
        <v>38</v>
      </c>
      <c r="C37" s="4" t="s">
        <v>136</v>
      </c>
      <c r="D37" t="s">
        <v>125</v>
      </c>
      <c r="E37" t="s">
        <v>99</v>
      </c>
      <c r="F37" s="4" t="s">
        <v>399</v>
      </c>
      <c r="G37" s="4" t="s">
        <v>400</v>
      </c>
      <c r="H37">
        <v>2025</v>
      </c>
      <c r="I37">
        <v>60</v>
      </c>
      <c r="K37" t="s">
        <v>77</v>
      </c>
    </row>
    <row r="38" spans="1:11" x14ac:dyDescent="0.25">
      <c r="A38" t="s">
        <v>449</v>
      </c>
      <c r="B38" s="2" t="s">
        <v>39</v>
      </c>
      <c r="C38" s="4" t="s">
        <v>136</v>
      </c>
      <c r="D38" t="s">
        <v>125</v>
      </c>
      <c r="E38" t="s">
        <v>100</v>
      </c>
      <c r="F38" s="4" t="s">
        <v>399</v>
      </c>
      <c r="G38" s="4" t="s">
        <v>400</v>
      </c>
      <c r="H38">
        <v>2025</v>
      </c>
      <c r="I38">
        <v>3.7</v>
      </c>
      <c r="K38" t="s">
        <v>77</v>
      </c>
    </row>
    <row r="39" spans="1:11" x14ac:dyDescent="0.25">
      <c r="A39" t="s">
        <v>450</v>
      </c>
      <c r="B39" s="2" t="s">
        <v>40</v>
      </c>
      <c r="C39" s="4" t="s">
        <v>136</v>
      </c>
      <c r="D39" t="s">
        <v>125</v>
      </c>
      <c r="E39" t="s">
        <v>100</v>
      </c>
      <c r="F39" s="4" t="s">
        <v>399</v>
      </c>
      <c r="G39" s="4" t="s">
        <v>400</v>
      </c>
      <c r="H39">
        <v>2025</v>
      </c>
      <c r="I39">
        <v>7.1</v>
      </c>
      <c r="K39" t="s">
        <v>77</v>
      </c>
    </row>
    <row r="40" spans="1:11" x14ac:dyDescent="0.25">
      <c r="A40" t="s">
        <v>451</v>
      </c>
      <c r="B40" s="2" t="s">
        <v>41</v>
      </c>
      <c r="C40" s="4" t="s">
        <v>136</v>
      </c>
      <c r="D40" t="s">
        <v>125</v>
      </c>
      <c r="E40" t="s">
        <v>101</v>
      </c>
      <c r="F40" s="4" t="s">
        <v>399</v>
      </c>
      <c r="G40" s="4" t="s">
        <v>400</v>
      </c>
      <c r="H40">
        <v>2025</v>
      </c>
      <c r="I40">
        <v>29.8</v>
      </c>
      <c r="K40" t="s">
        <v>77</v>
      </c>
    </row>
    <row r="41" spans="1:11" x14ac:dyDescent="0.25">
      <c r="A41" t="s">
        <v>452</v>
      </c>
      <c r="B41" s="2" t="s">
        <v>42</v>
      </c>
      <c r="C41" s="4" t="s">
        <v>136</v>
      </c>
      <c r="D41" t="s">
        <v>131</v>
      </c>
      <c r="E41" t="s">
        <v>102</v>
      </c>
      <c r="F41" s="4" t="s">
        <v>399</v>
      </c>
      <c r="G41" s="4" t="s">
        <v>400</v>
      </c>
      <c r="H41">
        <v>2025</v>
      </c>
      <c r="I41">
        <v>12.31</v>
      </c>
      <c r="K41" t="s">
        <v>77</v>
      </c>
    </row>
    <row r="42" spans="1:11" x14ac:dyDescent="0.25">
      <c r="A42" t="s">
        <v>453</v>
      </c>
      <c r="B42" s="2" t="s">
        <v>43</v>
      </c>
      <c r="C42" s="4" t="s">
        <v>136</v>
      </c>
      <c r="D42" t="s">
        <v>127</v>
      </c>
      <c r="E42" t="s">
        <v>103</v>
      </c>
      <c r="F42" s="4" t="s">
        <v>399</v>
      </c>
      <c r="G42" s="4" t="s">
        <v>400</v>
      </c>
      <c r="H42">
        <v>2025</v>
      </c>
      <c r="I42">
        <v>24</v>
      </c>
      <c r="K42" t="s">
        <v>77</v>
      </c>
    </row>
    <row r="43" spans="1:11" x14ac:dyDescent="0.25">
      <c r="A43" t="s">
        <v>454</v>
      </c>
      <c r="B43" s="2" t="s">
        <v>44</v>
      </c>
      <c r="C43" s="4" t="s">
        <v>136</v>
      </c>
      <c r="D43" t="s">
        <v>125</v>
      </c>
      <c r="E43" s="4" t="s">
        <v>104</v>
      </c>
      <c r="F43" s="4" t="s">
        <v>399</v>
      </c>
      <c r="G43" s="4" t="s">
        <v>400</v>
      </c>
      <c r="H43">
        <v>2025</v>
      </c>
      <c r="I43">
        <v>75</v>
      </c>
      <c r="K43" t="s">
        <v>77</v>
      </c>
    </row>
    <row r="44" spans="1:11" x14ac:dyDescent="0.25">
      <c r="A44" t="s">
        <v>455</v>
      </c>
      <c r="B44" s="2" t="s">
        <v>45</v>
      </c>
      <c r="C44" s="4" t="s">
        <v>136</v>
      </c>
      <c r="D44" t="s">
        <v>125</v>
      </c>
      <c r="E44" s="4" t="s">
        <v>104</v>
      </c>
      <c r="F44" s="4" t="s">
        <v>399</v>
      </c>
      <c r="G44" s="4" t="s">
        <v>400</v>
      </c>
      <c r="H44">
        <v>2025</v>
      </c>
      <c r="I44">
        <v>62</v>
      </c>
      <c r="K44" t="s">
        <v>77</v>
      </c>
    </row>
    <row r="45" spans="1:11" x14ac:dyDescent="0.25">
      <c r="A45" t="s">
        <v>456</v>
      </c>
      <c r="B45" s="2" t="s">
        <v>46</v>
      </c>
      <c r="C45" s="4" t="s">
        <v>136</v>
      </c>
      <c r="D45" t="s">
        <v>125</v>
      </c>
      <c r="E45" t="s">
        <v>78</v>
      </c>
      <c r="F45" s="4" t="s">
        <v>399</v>
      </c>
      <c r="G45" s="4" t="s">
        <v>400</v>
      </c>
      <c r="H45">
        <v>2025</v>
      </c>
      <c r="I45">
        <v>38.5</v>
      </c>
      <c r="K45" t="s">
        <v>77</v>
      </c>
    </row>
    <row r="46" spans="1:11" x14ac:dyDescent="0.25">
      <c r="A46" t="s">
        <v>457</v>
      </c>
      <c r="B46" s="2" t="s">
        <v>47</v>
      </c>
      <c r="C46" s="4" t="s">
        <v>136</v>
      </c>
      <c r="D46" t="s">
        <v>132</v>
      </c>
      <c r="E46" t="s">
        <v>105</v>
      </c>
      <c r="F46" s="4" t="s">
        <v>399</v>
      </c>
      <c r="G46" s="4" t="s">
        <v>400</v>
      </c>
      <c r="H46">
        <v>2025</v>
      </c>
      <c r="I46">
        <v>65</v>
      </c>
      <c r="K46" t="s">
        <v>77</v>
      </c>
    </row>
    <row r="47" spans="1:11" x14ac:dyDescent="0.25">
      <c r="A47" t="s">
        <v>458</v>
      </c>
      <c r="B47" s="2" t="s">
        <v>48</v>
      </c>
      <c r="C47" s="4" t="s">
        <v>136</v>
      </c>
      <c r="D47" t="s">
        <v>133</v>
      </c>
      <c r="E47" t="s">
        <v>106</v>
      </c>
      <c r="F47" s="4" t="s">
        <v>399</v>
      </c>
      <c r="G47" s="4" t="s">
        <v>400</v>
      </c>
      <c r="H47">
        <v>2025</v>
      </c>
      <c r="I47">
        <v>287.2</v>
      </c>
      <c r="K47" t="s">
        <v>77</v>
      </c>
    </row>
    <row r="48" spans="1:11" x14ac:dyDescent="0.25">
      <c r="A48" t="s">
        <v>459</v>
      </c>
      <c r="B48" s="2" t="s">
        <v>49</v>
      </c>
      <c r="C48" s="4" t="s">
        <v>136</v>
      </c>
      <c r="D48" t="s">
        <v>125</v>
      </c>
      <c r="E48" t="s">
        <v>107</v>
      </c>
      <c r="F48" s="4" t="s">
        <v>399</v>
      </c>
      <c r="G48" s="4" t="s">
        <v>400</v>
      </c>
      <c r="H48">
        <v>2025</v>
      </c>
      <c r="I48">
        <v>44.3</v>
      </c>
      <c r="K48" t="s">
        <v>77</v>
      </c>
    </row>
    <row r="49" spans="1:11" x14ac:dyDescent="0.25">
      <c r="A49" t="s">
        <v>460</v>
      </c>
      <c r="B49" s="2" t="s">
        <v>50</v>
      </c>
      <c r="C49" s="4" t="s">
        <v>136</v>
      </c>
      <c r="D49" t="s">
        <v>125</v>
      </c>
      <c r="E49" t="s">
        <v>107</v>
      </c>
      <c r="F49" s="4" t="s">
        <v>399</v>
      </c>
      <c r="G49" s="4" t="s">
        <v>400</v>
      </c>
      <c r="H49">
        <v>2025</v>
      </c>
      <c r="I49">
        <v>13.6</v>
      </c>
      <c r="K49" t="s">
        <v>77</v>
      </c>
    </row>
    <row r="50" spans="1:11" x14ac:dyDescent="0.25">
      <c r="A50" t="s">
        <v>461</v>
      </c>
      <c r="B50" s="2" t="s">
        <v>51</v>
      </c>
      <c r="C50" s="4" t="s">
        <v>136</v>
      </c>
      <c r="D50" t="s">
        <v>125</v>
      </c>
      <c r="E50" t="s">
        <v>107</v>
      </c>
      <c r="F50" s="4" t="s">
        <v>399</v>
      </c>
      <c r="G50" s="4" t="s">
        <v>400</v>
      </c>
      <c r="H50">
        <v>2025</v>
      </c>
      <c r="I50">
        <v>7.95</v>
      </c>
      <c r="K50" t="s">
        <v>77</v>
      </c>
    </row>
    <row r="51" spans="1:11" x14ac:dyDescent="0.25">
      <c r="A51" t="s">
        <v>462</v>
      </c>
      <c r="B51" s="2" t="s">
        <v>52</v>
      </c>
      <c r="C51" s="4" t="s">
        <v>136</v>
      </c>
      <c r="D51" t="s">
        <v>125</v>
      </c>
      <c r="E51" t="s">
        <v>107</v>
      </c>
      <c r="F51" s="4" t="s">
        <v>399</v>
      </c>
      <c r="G51" s="4" t="s">
        <v>400</v>
      </c>
      <c r="H51">
        <v>2025</v>
      </c>
      <c r="I51">
        <v>14.68</v>
      </c>
      <c r="K51" t="s">
        <v>77</v>
      </c>
    </row>
    <row r="52" spans="1:11" x14ac:dyDescent="0.25">
      <c r="A52" t="s">
        <v>463</v>
      </c>
      <c r="B52" s="2" t="s">
        <v>53</v>
      </c>
      <c r="C52" s="4" t="s">
        <v>136</v>
      </c>
      <c r="D52" t="s">
        <v>126</v>
      </c>
      <c r="E52" t="s">
        <v>108</v>
      </c>
      <c r="F52" s="4" t="s">
        <v>399</v>
      </c>
      <c r="G52" s="4" t="s">
        <v>400</v>
      </c>
      <c r="H52">
        <v>2025</v>
      </c>
      <c r="I52">
        <v>2.86</v>
      </c>
      <c r="K52" t="s">
        <v>77</v>
      </c>
    </row>
    <row r="53" spans="1:11" x14ac:dyDescent="0.25">
      <c r="A53" t="s">
        <v>464</v>
      </c>
      <c r="B53" s="2" t="s">
        <v>54</v>
      </c>
      <c r="C53" s="4" t="s">
        <v>136</v>
      </c>
      <c r="D53" t="s">
        <v>134</v>
      </c>
      <c r="E53" t="s">
        <v>109</v>
      </c>
      <c r="F53" s="4" t="s">
        <v>399</v>
      </c>
      <c r="G53" s="4" t="s">
        <v>400</v>
      </c>
      <c r="H53">
        <v>2025</v>
      </c>
      <c r="I53">
        <v>61</v>
      </c>
      <c r="K53" t="s">
        <v>77</v>
      </c>
    </row>
    <row r="54" spans="1:11" x14ac:dyDescent="0.25">
      <c r="A54" t="s">
        <v>465</v>
      </c>
      <c r="B54" s="2" t="s">
        <v>55</v>
      </c>
      <c r="C54" s="4" t="s">
        <v>136</v>
      </c>
      <c r="D54" t="s">
        <v>129</v>
      </c>
      <c r="E54" t="s">
        <v>110</v>
      </c>
      <c r="F54" s="4" t="s">
        <v>399</v>
      </c>
      <c r="G54" s="4" t="s">
        <v>400</v>
      </c>
      <c r="H54">
        <v>2025</v>
      </c>
      <c r="I54">
        <v>2.0499999999999998</v>
      </c>
      <c r="K54" t="s">
        <v>77</v>
      </c>
    </row>
    <row r="55" spans="1:11" x14ac:dyDescent="0.25">
      <c r="A55" t="s">
        <v>466</v>
      </c>
      <c r="B55" s="2" t="s">
        <v>56</v>
      </c>
      <c r="C55" s="4" t="s">
        <v>136</v>
      </c>
      <c r="D55" t="s">
        <v>125</v>
      </c>
      <c r="E55" t="s">
        <v>99</v>
      </c>
      <c r="F55" s="4" t="s">
        <v>399</v>
      </c>
      <c r="G55" s="4" t="s">
        <v>400</v>
      </c>
      <c r="H55">
        <v>2025</v>
      </c>
      <c r="I55">
        <v>20</v>
      </c>
      <c r="K55" t="s">
        <v>77</v>
      </c>
    </row>
    <row r="56" spans="1:11" x14ac:dyDescent="0.25">
      <c r="A56" t="s">
        <v>467</v>
      </c>
      <c r="B56" s="2" t="s">
        <v>59</v>
      </c>
      <c r="C56" s="4" t="s">
        <v>136</v>
      </c>
      <c r="D56" t="s">
        <v>125</v>
      </c>
      <c r="E56" t="s">
        <v>114</v>
      </c>
      <c r="F56" s="4" t="s">
        <v>399</v>
      </c>
      <c r="G56" s="4" t="s">
        <v>400</v>
      </c>
      <c r="H56">
        <v>2025</v>
      </c>
      <c r="I56">
        <v>61.49</v>
      </c>
      <c r="K56" t="s">
        <v>77</v>
      </c>
    </row>
    <row r="57" spans="1:11" x14ac:dyDescent="0.25">
      <c r="A57" t="s">
        <v>468</v>
      </c>
      <c r="B57" s="2" t="s">
        <v>60</v>
      </c>
      <c r="C57" s="4" t="s">
        <v>136</v>
      </c>
      <c r="D57" t="s">
        <v>125</v>
      </c>
      <c r="E57" t="s">
        <v>115</v>
      </c>
      <c r="F57" s="4" t="s">
        <v>399</v>
      </c>
      <c r="G57" s="4" t="s">
        <v>400</v>
      </c>
      <c r="H57">
        <v>2025</v>
      </c>
      <c r="I57">
        <v>52.57</v>
      </c>
      <c r="K57" t="s">
        <v>77</v>
      </c>
    </row>
    <row r="58" spans="1:11" x14ac:dyDescent="0.25">
      <c r="A58" t="s">
        <v>469</v>
      </c>
      <c r="B58" s="2" t="s">
        <v>61</v>
      </c>
      <c r="C58" s="4" t="s">
        <v>136</v>
      </c>
      <c r="D58" t="s">
        <v>125</v>
      </c>
      <c r="E58" t="s">
        <v>116</v>
      </c>
      <c r="F58" s="4" t="s">
        <v>399</v>
      </c>
      <c r="G58" s="4" t="s">
        <v>400</v>
      </c>
      <c r="H58">
        <v>2025</v>
      </c>
      <c r="I58">
        <v>35</v>
      </c>
      <c r="K58" t="s">
        <v>77</v>
      </c>
    </row>
    <row r="59" spans="1:11" x14ac:dyDescent="0.25">
      <c r="A59" t="s">
        <v>470</v>
      </c>
      <c r="B59" s="2" t="s">
        <v>62</v>
      </c>
      <c r="C59" s="4" t="s">
        <v>136</v>
      </c>
      <c r="D59" t="s">
        <v>125</v>
      </c>
      <c r="E59" t="s">
        <v>117</v>
      </c>
      <c r="F59" s="4" t="s">
        <v>399</v>
      </c>
      <c r="G59" s="4" t="s">
        <v>400</v>
      </c>
      <c r="H59">
        <v>2025</v>
      </c>
      <c r="I59">
        <v>8.6999999999999993</v>
      </c>
      <c r="K59" t="s">
        <v>77</v>
      </c>
    </row>
    <row r="60" spans="1:11" x14ac:dyDescent="0.25">
      <c r="A60" t="s">
        <v>471</v>
      </c>
      <c r="B60" s="2" t="s">
        <v>63</v>
      </c>
      <c r="C60" s="4" t="s">
        <v>136</v>
      </c>
      <c r="D60" t="s">
        <v>125</v>
      </c>
      <c r="E60" t="s">
        <v>118</v>
      </c>
      <c r="F60" s="4" t="s">
        <v>399</v>
      </c>
      <c r="G60" s="4" t="s">
        <v>400</v>
      </c>
      <c r="H60">
        <v>2025</v>
      </c>
      <c r="I60">
        <v>45</v>
      </c>
      <c r="K60" t="s">
        <v>77</v>
      </c>
    </row>
    <row r="61" spans="1:11" x14ac:dyDescent="0.25">
      <c r="A61" t="s">
        <v>472</v>
      </c>
      <c r="B61" s="2" t="s">
        <v>64</v>
      </c>
      <c r="C61" s="4" t="s">
        <v>136</v>
      </c>
      <c r="D61" t="s">
        <v>125</v>
      </c>
      <c r="E61" t="s">
        <v>78</v>
      </c>
      <c r="F61" s="4" t="s">
        <v>399</v>
      </c>
      <c r="G61" s="4" t="s">
        <v>400</v>
      </c>
      <c r="H61">
        <v>2025</v>
      </c>
      <c r="I61">
        <v>62.1</v>
      </c>
      <c r="K61" t="s">
        <v>77</v>
      </c>
    </row>
    <row r="62" spans="1:11" x14ac:dyDescent="0.25">
      <c r="A62" t="s">
        <v>473</v>
      </c>
      <c r="B62" s="2" t="s">
        <v>65</v>
      </c>
      <c r="C62" s="4" t="s">
        <v>136</v>
      </c>
      <c r="D62" t="s">
        <v>125</v>
      </c>
      <c r="E62" t="s">
        <v>119</v>
      </c>
      <c r="F62" s="4" t="s">
        <v>399</v>
      </c>
      <c r="G62" s="4" t="s">
        <v>400</v>
      </c>
      <c r="H62">
        <v>2025</v>
      </c>
      <c r="I62">
        <v>23.2</v>
      </c>
      <c r="K62" t="s">
        <v>77</v>
      </c>
    </row>
    <row r="63" spans="1:11" x14ac:dyDescent="0.25">
      <c r="A63" t="s">
        <v>474</v>
      </c>
      <c r="B63" s="2" t="s">
        <v>66</v>
      </c>
      <c r="C63" s="4" t="s">
        <v>136</v>
      </c>
      <c r="D63" t="s">
        <v>125</v>
      </c>
      <c r="E63" t="s">
        <v>78</v>
      </c>
      <c r="F63" s="4" t="s">
        <v>399</v>
      </c>
      <c r="G63" s="4" t="s">
        <v>400</v>
      </c>
      <c r="H63">
        <v>2025</v>
      </c>
      <c r="I63">
        <v>9.4</v>
      </c>
      <c r="K63" t="s">
        <v>77</v>
      </c>
    </row>
    <row r="64" spans="1:11" x14ac:dyDescent="0.25">
      <c r="A64" t="s">
        <v>475</v>
      </c>
      <c r="B64" s="2" t="s">
        <v>67</v>
      </c>
      <c r="C64" s="4" t="s">
        <v>136</v>
      </c>
      <c r="D64" t="s">
        <v>125</v>
      </c>
      <c r="E64" t="s">
        <v>120</v>
      </c>
      <c r="F64" s="4" t="s">
        <v>399</v>
      </c>
      <c r="G64" s="4" t="s">
        <v>400</v>
      </c>
      <c r="H64">
        <v>2025</v>
      </c>
      <c r="I64">
        <v>90.47</v>
      </c>
      <c r="K64" t="s">
        <v>77</v>
      </c>
    </row>
    <row r="65" spans="1:11" x14ac:dyDescent="0.25">
      <c r="A65" t="s">
        <v>476</v>
      </c>
      <c r="B65" s="2" t="s">
        <v>68</v>
      </c>
      <c r="C65" s="4" t="s">
        <v>136</v>
      </c>
      <c r="D65" t="s">
        <v>125</v>
      </c>
      <c r="E65" t="s">
        <v>120</v>
      </c>
      <c r="F65" s="4" t="s">
        <v>399</v>
      </c>
      <c r="G65" s="4" t="s">
        <v>400</v>
      </c>
      <c r="H65">
        <v>2025</v>
      </c>
      <c r="I65">
        <v>55.83</v>
      </c>
      <c r="K65" t="s">
        <v>77</v>
      </c>
    </row>
    <row r="66" spans="1:11" x14ac:dyDescent="0.25">
      <c r="A66" t="s">
        <v>477</v>
      </c>
      <c r="B66" s="2" t="s">
        <v>69</v>
      </c>
      <c r="C66" s="4" t="s">
        <v>136</v>
      </c>
      <c r="D66" t="s">
        <v>125</v>
      </c>
      <c r="E66" t="s">
        <v>121</v>
      </c>
      <c r="F66" s="4" t="s">
        <v>399</v>
      </c>
      <c r="G66" s="4" t="s">
        <v>400</v>
      </c>
      <c r="H66">
        <v>2025</v>
      </c>
      <c r="I66">
        <v>18</v>
      </c>
      <c r="K66" t="s">
        <v>77</v>
      </c>
    </row>
    <row r="67" spans="1:11" x14ac:dyDescent="0.25">
      <c r="A67" t="s">
        <v>478</v>
      </c>
      <c r="B67" s="2" t="s">
        <v>70</v>
      </c>
      <c r="C67" s="4" t="s">
        <v>136</v>
      </c>
      <c r="D67" t="s">
        <v>125</v>
      </c>
      <c r="E67" t="s">
        <v>122</v>
      </c>
      <c r="F67" s="4" t="s">
        <v>399</v>
      </c>
      <c r="G67" s="4" t="s">
        <v>400</v>
      </c>
      <c r="H67">
        <v>2025</v>
      </c>
      <c r="I67">
        <v>30</v>
      </c>
      <c r="K67" t="s">
        <v>77</v>
      </c>
    </row>
    <row r="68" spans="1:11" x14ac:dyDescent="0.25">
      <c r="A68" t="s">
        <v>479</v>
      </c>
      <c r="B68" s="2" t="s">
        <v>71</v>
      </c>
      <c r="C68" s="4" t="s">
        <v>136</v>
      </c>
      <c r="D68" t="s">
        <v>125</v>
      </c>
      <c r="E68" t="s">
        <v>123</v>
      </c>
      <c r="F68" s="4" t="s">
        <v>399</v>
      </c>
      <c r="G68" s="4" t="s">
        <v>400</v>
      </c>
      <c r="H68">
        <v>2025</v>
      </c>
      <c r="I68">
        <v>62.7</v>
      </c>
      <c r="K68" t="s">
        <v>77</v>
      </c>
    </row>
    <row r="69" spans="1:11" x14ac:dyDescent="0.25">
      <c r="A69" t="s">
        <v>480</v>
      </c>
      <c r="B69" s="2" t="s">
        <v>72</v>
      </c>
      <c r="C69" s="4" t="s">
        <v>136</v>
      </c>
      <c r="D69" t="s">
        <v>125</v>
      </c>
      <c r="E69" t="s">
        <v>124</v>
      </c>
      <c r="F69" s="4" t="s">
        <v>399</v>
      </c>
      <c r="G69" s="4" t="s">
        <v>400</v>
      </c>
      <c r="H69">
        <v>2025</v>
      </c>
      <c r="I69">
        <v>50</v>
      </c>
      <c r="K69" t="s">
        <v>77</v>
      </c>
    </row>
    <row r="70" spans="1:11" x14ac:dyDescent="0.25">
      <c r="A70" t="s">
        <v>481</v>
      </c>
      <c r="B70" s="2" t="s">
        <v>2</v>
      </c>
      <c r="C70" s="4" t="s">
        <v>136</v>
      </c>
      <c r="D70" t="s">
        <v>125</v>
      </c>
      <c r="E70" t="s">
        <v>78</v>
      </c>
      <c r="F70" s="4" t="s">
        <v>399</v>
      </c>
      <c r="G70" s="4" t="s">
        <v>400</v>
      </c>
      <c r="H70">
        <v>2026</v>
      </c>
      <c r="I70">
        <v>37.14</v>
      </c>
      <c r="K70" t="s">
        <v>77</v>
      </c>
    </row>
    <row r="71" spans="1:11" x14ac:dyDescent="0.25">
      <c r="A71" t="s">
        <v>482</v>
      </c>
      <c r="B71" s="2" t="s">
        <v>3</v>
      </c>
      <c r="C71" s="4" t="s">
        <v>136</v>
      </c>
      <c r="D71" t="s">
        <v>125</v>
      </c>
      <c r="E71" t="s">
        <v>78</v>
      </c>
      <c r="F71" s="4" t="s">
        <v>399</v>
      </c>
      <c r="G71" s="4" t="s">
        <v>400</v>
      </c>
      <c r="H71">
        <v>2026</v>
      </c>
      <c r="I71">
        <v>66.5</v>
      </c>
      <c r="K71" t="s">
        <v>77</v>
      </c>
    </row>
    <row r="72" spans="1:11" x14ac:dyDescent="0.25">
      <c r="A72" t="s">
        <v>483</v>
      </c>
      <c r="B72" s="2" t="s">
        <v>4</v>
      </c>
      <c r="C72" s="4" t="s">
        <v>136</v>
      </c>
      <c r="D72" t="s">
        <v>126</v>
      </c>
      <c r="E72" t="s">
        <v>79</v>
      </c>
      <c r="F72" s="4" t="s">
        <v>399</v>
      </c>
      <c r="G72" s="4" t="s">
        <v>400</v>
      </c>
      <c r="H72">
        <v>2026</v>
      </c>
      <c r="I72">
        <v>65.95</v>
      </c>
      <c r="K72" t="s">
        <v>77</v>
      </c>
    </row>
    <row r="73" spans="1:11" x14ac:dyDescent="0.25">
      <c r="A73" t="s">
        <v>484</v>
      </c>
      <c r="B73" s="2" t="s">
        <v>5</v>
      </c>
      <c r="C73" s="4" t="s">
        <v>136</v>
      </c>
      <c r="D73" t="s">
        <v>125</v>
      </c>
      <c r="E73" t="s">
        <v>78</v>
      </c>
      <c r="F73" s="4" t="s">
        <v>399</v>
      </c>
      <c r="G73" s="4" t="s">
        <v>400</v>
      </c>
      <c r="H73">
        <v>2026</v>
      </c>
      <c r="I73">
        <v>84.2</v>
      </c>
      <c r="K73" t="s">
        <v>77</v>
      </c>
    </row>
    <row r="74" spans="1:11" x14ac:dyDescent="0.25">
      <c r="A74" t="s">
        <v>485</v>
      </c>
      <c r="B74" s="2" t="s">
        <v>6</v>
      </c>
      <c r="C74" s="4" t="s">
        <v>136</v>
      </c>
      <c r="D74" t="s">
        <v>125</v>
      </c>
      <c r="E74" t="s">
        <v>80</v>
      </c>
      <c r="F74" s="4" t="s">
        <v>399</v>
      </c>
      <c r="G74" s="4" t="s">
        <v>400</v>
      </c>
      <c r="H74">
        <v>2026</v>
      </c>
      <c r="I74">
        <v>12.8</v>
      </c>
      <c r="K74" t="s">
        <v>77</v>
      </c>
    </row>
    <row r="75" spans="1:11" x14ac:dyDescent="0.25">
      <c r="A75" t="s">
        <v>486</v>
      </c>
      <c r="B75" s="2" t="s">
        <v>7</v>
      </c>
      <c r="C75" s="4" t="s">
        <v>136</v>
      </c>
      <c r="D75" t="s">
        <v>125</v>
      </c>
      <c r="E75" t="s">
        <v>81</v>
      </c>
      <c r="F75" s="4" t="s">
        <v>399</v>
      </c>
      <c r="G75" s="4" t="s">
        <v>400</v>
      </c>
      <c r="H75">
        <v>2026</v>
      </c>
      <c r="I75">
        <v>55.86</v>
      </c>
      <c r="K75" t="s">
        <v>77</v>
      </c>
    </row>
    <row r="76" spans="1:11" x14ac:dyDescent="0.25">
      <c r="A76" t="s">
        <v>487</v>
      </c>
      <c r="B76" s="2" t="s">
        <v>8</v>
      </c>
      <c r="C76" s="4" t="s">
        <v>136</v>
      </c>
      <c r="D76" t="s">
        <v>125</v>
      </c>
      <c r="E76" t="s">
        <v>82</v>
      </c>
      <c r="F76" s="4" t="s">
        <v>399</v>
      </c>
      <c r="G76" s="4" t="s">
        <v>400</v>
      </c>
      <c r="H76">
        <v>2026</v>
      </c>
      <c r="I76">
        <v>25.95</v>
      </c>
      <c r="K76" t="s">
        <v>77</v>
      </c>
    </row>
    <row r="77" spans="1:11" x14ac:dyDescent="0.25">
      <c r="A77" t="s">
        <v>488</v>
      </c>
      <c r="B77" s="2" t="s">
        <v>9</v>
      </c>
      <c r="C77" s="4" t="s">
        <v>136</v>
      </c>
      <c r="D77" t="s">
        <v>125</v>
      </c>
      <c r="E77" t="s">
        <v>82</v>
      </c>
      <c r="F77" s="4" t="s">
        <v>399</v>
      </c>
      <c r="G77" s="4" t="s">
        <v>400</v>
      </c>
      <c r="H77">
        <v>2026</v>
      </c>
      <c r="I77">
        <v>21.88</v>
      </c>
      <c r="K77" t="s">
        <v>77</v>
      </c>
    </row>
    <row r="78" spans="1:11" x14ac:dyDescent="0.25">
      <c r="A78" t="s">
        <v>489</v>
      </c>
      <c r="B78" s="2" t="s">
        <v>10</v>
      </c>
      <c r="C78" s="4" t="s">
        <v>136</v>
      </c>
      <c r="D78" t="s">
        <v>125</v>
      </c>
      <c r="E78" t="s">
        <v>78</v>
      </c>
      <c r="F78" s="4" t="s">
        <v>399</v>
      </c>
      <c r="G78" s="4" t="s">
        <v>400</v>
      </c>
      <c r="H78">
        <v>2026</v>
      </c>
      <c r="I78">
        <v>15.5</v>
      </c>
      <c r="K78" t="s">
        <v>77</v>
      </c>
    </row>
    <row r="79" spans="1:11" x14ac:dyDescent="0.25">
      <c r="A79" t="s">
        <v>490</v>
      </c>
      <c r="B79" s="2" t="s">
        <v>11</v>
      </c>
      <c r="C79" s="4" t="s">
        <v>136</v>
      </c>
      <c r="D79" t="s">
        <v>125</v>
      </c>
      <c r="E79" t="s">
        <v>78</v>
      </c>
      <c r="F79" s="4" t="s">
        <v>399</v>
      </c>
      <c r="G79" s="4" t="s">
        <v>400</v>
      </c>
      <c r="H79">
        <v>2026</v>
      </c>
      <c r="I79">
        <v>80</v>
      </c>
      <c r="K79" t="s">
        <v>77</v>
      </c>
    </row>
    <row r="80" spans="1:11" x14ac:dyDescent="0.25">
      <c r="A80" t="s">
        <v>491</v>
      </c>
      <c r="B80" s="2" t="s">
        <v>12</v>
      </c>
      <c r="C80" s="4" t="s">
        <v>136</v>
      </c>
      <c r="D80" s="4" t="s">
        <v>125</v>
      </c>
      <c r="E80" t="s">
        <v>83</v>
      </c>
      <c r="F80" s="4" t="s">
        <v>399</v>
      </c>
      <c r="G80" s="4" t="s">
        <v>400</v>
      </c>
      <c r="H80">
        <v>2026</v>
      </c>
      <c r="I80">
        <v>77</v>
      </c>
      <c r="K80" t="s">
        <v>77</v>
      </c>
    </row>
    <row r="81" spans="1:11" x14ac:dyDescent="0.25">
      <c r="A81" t="s">
        <v>492</v>
      </c>
      <c r="B81" s="2" t="s">
        <v>13</v>
      </c>
      <c r="C81" s="4" t="s">
        <v>136</v>
      </c>
      <c r="D81" t="s">
        <v>127</v>
      </c>
      <c r="E81" t="s">
        <v>84</v>
      </c>
      <c r="F81" s="4" t="s">
        <v>399</v>
      </c>
      <c r="G81" s="4" t="s">
        <v>400</v>
      </c>
      <c r="H81">
        <v>2026</v>
      </c>
      <c r="I81">
        <v>17</v>
      </c>
      <c r="K81" t="s">
        <v>77</v>
      </c>
    </row>
    <row r="82" spans="1:11" x14ac:dyDescent="0.25">
      <c r="A82" t="s">
        <v>493</v>
      </c>
      <c r="B82" s="2" t="s">
        <v>14</v>
      </c>
      <c r="C82" s="4" t="s">
        <v>136</v>
      </c>
      <c r="D82" t="s">
        <v>125</v>
      </c>
      <c r="E82" t="s">
        <v>84</v>
      </c>
      <c r="F82" s="4" t="s">
        <v>399</v>
      </c>
      <c r="G82" s="4" t="s">
        <v>400</v>
      </c>
      <c r="H82">
        <v>2026</v>
      </c>
      <c r="I82">
        <v>71.64</v>
      </c>
      <c r="K82" t="s">
        <v>77</v>
      </c>
    </row>
    <row r="83" spans="1:11" x14ac:dyDescent="0.25">
      <c r="A83" t="s">
        <v>494</v>
      </c>
      <c r="B83" s="2" t="s">
        <v>15</v>
      </c>
      <c r="C83" s="4" t="s">
        <v>136</v>
      </c>
      <c r="D83" t="s">
        <v>125</v>
      </c>
      <c r="E83" t="s">
        <v>78</v>
      </c>
      <c r="F83" s="4" t="s">
        <v>399</v>
      </c>
      <c r="G83" s="4" t="s">
        <v>400</v>
      </c>
      <c r="H83">
        <v>2026</v>
      </c>
      <c r="I83">
        <v>45.1</v>
      </c>
      <c r="K83" t="s">
        <v>77</v>
      </c>
    </row>
    <row r="84" spans="1:11" x14ac:dyDescent="0.25">
      <c r="A84" t="s">
        <v>495</v>
      </c>
      <c r="B84" s="2" t="s">
        <v>16</v>
      </c>
      <c r="C84" s="4" t="s">
        <v>136</v>
      </c>
      <c r="D84" t="s">
        <v>128</v>
      </c>
      <c r="E84" t="s">
        <v>85</v>
      </c>
      <c r="F84" s="4" t="s">
        <v>399</v>
      </c>
      <c r="G84" s="4" t="s">
        <v>400</v>
      </c>
      <c r="H84">
        <v>2026</v>
      </c>
      <c r="I84">
        <v>4</v>
      </c>
      <c r="K84" t="s">
        <v>77</v>
      </c>
    </row>
    <row r="85" spans="1:11" x14ac:dyDescent="0.25">
      <c r="A85" t="s">
        <v>496</v>
      </c>
      <c r="B85" s="2" t="s">
        <v>17</v>
      </c>
      <c r="C85" s="4" t="s">
        <v>136</v>
      </c>
      <c r="D85" t="s">
        <v>125</v>
      </c>
      <c r="E85" t="s">
        <v>86</v>
      </c>
      <c r="F85" s="4" t="s">
        <v>399</v>
      </c>
      <c r="G85" s="4" t="s">
        <v>400</v>
      </c>
      <c r="H85">
        <v>2026</v>
      </c>
      <c r="I85">
        <v>70</v>
      </c>
      <c r="K85" t="s">
        <v>77</v>
      </c>
    </row>
    <row r="86" spans="1:11" x14ac:dyDescent="0.25">
      <c r="A86" t="s">
        <v>497</v>
      </c>
      <c r="B86" s="3" t="s">
        <v>18</v>
      </c>
      <c r="C86" s="4" t="s">
        <v>136</v>
      </c>
      <c r="D86" t="s">
        <v>125</v>
      </c>
      <c r="E86" t="s">
        <v>87</v>
      </c>
      <c r="F86" s="4" t="s">
        <v>399</v>
      </c>
      <c r="G86" s="4" t="s">
        <v>400</v>
      </c>
      <c r="H86">
        <v>2026</v>
      </c>
      <c r="I86">
        <v>78</v>
      </c>
      <c r="K86" t="s">
        <v>77</v>
      </c>
    </row>
    <row r="87" spans="1:11" x14ac:dyDescent="0.25">
      <c r="A87" t="s">
        <v>498</v>
      </c>
      <c r="B87" s="2" t="s">
        <v>19</v>
      </c>
      <c r="C87" s="4" t="s">
        <v>136</v>
      </c>
      <c r="D87" t="s">
        <v>125</v>
      </c>
      <c r="E87" t="s">
        <v>84</v>
      </c>
      <c r="F87" s="4" t="s">
        <v>399</v>
      </c>
      <c r="G87" s="4" t="s">
        <v>400</v>
      </c>
      <c r="H87">
        <v>2026</v>
      </c>
      <c r="I87">
        <v>87.5</v>
      </c>
      <c r="K87" t="s">
        <v>77</v>
      </c>
    </row>
    <row r="88" spans="1:11" x14ac:dyDescent="0.25">
      <c r="A88" t="s">
        <v>499</v>
      </c>
      <c r="B88" s="2" t="s">
        <v>20</v>
      </c>
      <c r="C88" s="4" t="s">
        <v>136</v>
      </c>
      <c r="D88" t="s">
        <v>125</v>
      </c>
      <c r="E88" t="s">
        <v>84</v>
      </c>
      <c r="F88" s="4" t="s">
        <v>399</v>
      </c>
      <c r="G88" s="4" t="s">
        <v>400</v>
      </c>
      <c r="H88">
        <v>2026</v>
      </c>
      <c r="I88">
        <v>40</v>
      </c>
      <c r="K88" t="s">
        <v>77</v>
      </c>
    </row>
    <row r="89" spans="1:11" x14ac:dyDescent="0.25">
      <c r="A89" t="s">
        <v>500</v>
      </c>
      <c r="B89" s="2" t="s">
        <v>21</v>
      </c>
      <c r="C89" s="4" t="s">
        <v>136</v>
      </c>
      <c r="D89" t="s">
        <v>125</v>
      </c>
      <c r="E89" t="s">
        <v>88</v>
      </c>
      <c r="F89" s="4" t="s">
        <v>399</v>
      </c>
      <c r="G89" s="4" t="s">
        <v>400</v>
      </c>
      <c r="H89">
        <v>2026</v>
      </c>
      <c r="I89">
        <v>85</v>
      </c>
      <c r="K89" t="s">
        <v>77</v>
      </c>
    </row>
    <row r="90" spans="1:11" x14ac:dyDescent="0.25">
      <c r="A90" t="s">
        <v>501</v>
      </c>
      <c r="B90" s="3" t="s">
        <v>22</v>
      </c>
      <c r="C90" s="4" t="s">
        <v>136</v>
      </c>
      <c r="D90" t="s">
        <v>129</v>
      </c>
      <c r="E90" t="s">
        <v>89</v>
      </c>
      <c r="F90" s="4" t="s">
        <v>399</v>
      </c>
      <c r="G90" s="4" t="s">
        <v>400</v>
      </c>
      <c r="H90">
        <v>2026</v>
      </c>
      <c r="I90">
        <v>95</v>
      </c>
      <c r="K90" t="s">
        <v>77</v>
      </c>
    </row>
    <row r="91" spans="1:11" x14ac:dyDescent="0.25">
      <c r="A91" t="s">
        <v>502</v>
      </c>
      <c r="B91" s="2" t="s">
        <v>23</v>
      </c>
      <c r="C91" s="4" t="s">
        <v>136</v>
      </c>
      <c r="D91" t="s">
        <v>125</v>
      </c>
      <c r="E91" t="s">
        <v>90</v>
      </c>
      <c r="F91" s="4" t="s">
        <v>399</v>
      </c>
      <c r="G91" s="4" t="s">
        <v>400</v>
      </c>
      <c r="H91">
        <v>2026</v>
      </c>
      <c r="I91">
        <v>6.7</v>
      </c>
      <c r="K91" t="s">
        <v>77</v>
      </c>
    </row>
    <row r="92" spans="1:11" x14ac:dyDescent="0.25">
      <c r="A92" t="s">
        <v>503</v>
      </c>
      <c r="B92" s="2" t="s">
        <v>24</v>
      </c>
      <c r="C92" s="4" t="s">
        <v>136</v>
      </c>
      <c r="D92" t="s">
        <v>130</v>
      </c>
      <c r="E92" t="s">
        <v>78</v>
      </c>
      <c r="F92" s="4" t="s">
        <v>399</v>
      </c>
      <c r="G92" s="4" t="s">
        <v>400</v>
      </c>
      <c r="H92">
        <v>2026</v>
      </c>
      <c r="I92">
        <v>0.3</v>
      </c>
      <c r="K92" t="s">
        <v>77</v>
      </c>
    </row>
    <row r="93" spans="1:11" x14ac:dyDescent="0.25">
      <c r="A93" t="s">
        <v>504</v>
      </c>
      <c r="B93" s="2" t="s">
        <v>25</v>
      </c>
      <c r="C93" s="4" t="s">
        <v>136</v>
      </c>
      <c r="D93" t="s">
        <v>125</v>
      </c>
      <c r="E93" t="s">
        <v>91</v>
      </c>
      <c r="F93" s="4" t="s">
        <v>399</v>
      </c>
      <c r="G93" s="4" t="s">
        <v>400</v>
      </c>
      <c r="H93">
        <v>2026</v>
      </c>
      <c r="I93">
        <v>93</v>
      </c>
      <c r="K93" t="s">
        <v>77</v>
      </c>
    </row>
    <row r="94" spans="1:11" x14ac:dyDescent="0.25">
      <c r="A94" t="s">
        <v>505</v>
      </c>
      <c r="B94" s="2" t="s">
        <v>26</v>
      </c>
      <c r="C94" s="4" t="s">
        <v>136</v>
      </c>
      <c r="D94" t="s">
        <v>125</v>
      </c>
      <c r="E94" t="s">
        <v>92</v>
      </c>
      <c r="F94" s="4" t="s">
        <v>399</v>
      </c>
      <c r="G94" s="4" t="s">
        <v>400</v>
      </c>
      <c r="H94">
        <v>2026</v>
      </c>
      <c r="I94">
        <v>75</v>
      </c>
      <c r="K94" t="s">
        <v>77</v>
      </c>
    </row>
    <row r="95" spans="1:11" x14ac:dyDescent="0.25">
      <c r="A95" t="s">
        <v>506</v>
      </c>
      <c r="B95" s="3" t="s">
        <v>27</v>
      </c>
      <c r="C95" s="4" t="s">
        <v>136</v>
      </c>
      <c r="D95" t="s">
        <v>125</v>
      </c>
      <c r="E95" t="s">
        <v>93</v>
      </c>
      <c r="F95" s="4" t="s">
        <v>399</v>
      </c>
      <c r="G95" s="4" t="s">
        <v>400</v>
      </c>
      <c r="H95">
        <v>2026</v>
      </c>
      <c r="I95">
        <v>8.9</v>
      </c>
      <c r="K95" t="s">
        <v>77</v>
      </c>
    </row>
    <row r="96" spans="1:11" x14ac:dyDescent="0.25">
      <c r="A96" t="s">
        <v>507</v>
      </c>
      <c r="B96" s="2" t="s">
        <v>29</v>
      </c>
      <c r="C96" s="4" t="s">
        <v>136</v>
      </c>
      <c r="D96" t="s">
        <v>125</v>
      </c>
      <c r="E96" t="s">
        <v>95</v>
      </c>
      <c r="F96" s="4" t="s">
        <v>399</v>
      </c>
      <c r="G96" s="4" t="s">
        <v>400</v>
      </c>
      <c r="H96">
        <v>2026</v>
      </c>
      <c r="I96">
        <v>8.5</v>
      </c>
      <c r="K96" t="s">
        <v>77</v>
      </c>
    </row>
    <row r="97" spans="1:11" x14ac:dyDescent="0.25">
      <c r="A97" t="s">
        <v>508</v>
      </c>
      <c r="B97" s="2" t="s">
        <v>30</v>
      </c>
      <c r="C97" s="4" t="s">
        <v>136</v>
      </c>
      <c r="D97" t="s">
        <v>125</v>
      </c>
      <c r="E97" t="s">
        <v>90</v>
      </c>
      <c r="F97" s="4" t="s">
        <v>399</v>
      </c>
      <c r="G97" s="4" t="s">
        <v>400</v>
      </c>
      <c r="H97">
        <v>2026</v>
      </c>
      <c r="I97">
        <v>29.45</v>
      </c>
      <c r="K97" t="s">
        <v>77</v>
      </c>
    </row>
    <row r="98" spans="1:11" x14ac:dyDescent="0.25">
      <c r="A98" t="s">
        <v>509</v>
      </c>
      <c r="B98" s="2" t="s">
        <v>31</v>
      </c>
      <c r="C98" s="4" t="s">
        <v>136</v>
      </c>
      <c r="D98" t="s">
        <v>125</v>
      </c>
      <c r="E98" t="s">
        <v>96</v>
      </c>
      <c r="F98" s="4" t="s">
        <v>399</v>
      </c>
      <c r="G98" s="4" t="s">
        <v>400</v>
      </c>
      <c r="H98">
        <v>2026</v>
      </c>
      <c r="I98">
        <v>46</v>
      </c>
      <c r="K98" t="s">
        <v>77</v>
      </c>
    </row>
    <row r="99" spans="1:11" x14ac:dyDescent="0.25">
      <c r="A99" t="s">
        <v>510</v>
      </c>
      <c r="B99" s="3" t="s">
        <v>32</v>
      </c>
      <c r="C99" s="4" t="s">
        <v>136</v>
      </c>
      <c r="D99" t="s">
        <v>125</v>
      </c>
      <c r="E99" t="s">
        <v>96</v>
      </c>
      <c r="F99" s="4" t="s">
        <v>399</v>
      </c>
      <c r="G99" s="4" t="s">
        <v>400</v>
      </c>
      <c r="H99">
        <v>2026</v>
      </c>
      <c r="I99">
        <v>7</v>
      </c>
      <c r="K99" t="s">
        <v>77</v>
      </c>
    </row>
    <row r="100" spans="1:11" x14ac:dyDescent="0.25">
      <c r="A100" t="s">
        <v>511</v>
      </c>
      <c r="B100" s="3" t="s">
        <v>33</v>
      </c>
      <c r="C100" s="4" t="s">
        <v>136</v>
      </c>
      <c r="D100" t="s">
        <v>125</v>
      </c>
      <c r="E100" t="s">
        <v>96</v>
      </c>
      <c r="F100" s="4" t="s">
        <v>399</v>
      </c>
      <c r="G100" s="4" t="s">
        <v>400</v>
      </c>
      <c r="H100">
        <v>2026</v>
      </c>
      <c r="I100">
        <v>5</v>
      </c>
      <c r="K100" t="s">
        <v>77</v>
      </c>
    </row>
    <row r="101" spans="1:11" x14ac:dyDescent="0.25">
      <c r="A101" t="s">
        <v>512</v>
      </c>
      <c r="B101" s="2" t="s">
        <v>34</v>
      </c>
      <c r="C101" s="4" t="s">
        <v>136</v>
      </c>
      <c r="D101" t="s">
        <v>125</v>
      </c>
      <c r="E101" t="s">
        <v>90</v>
      </c>
      <c r="F101" s="4" t="s">
        <v>399</v>
      </c>
      <c r="G101" s="4" t="s">
        <v>400</v>
      </c>
      <c r="H101">
        <v>2026</v>
      </c>
      <c r="I101">
        <v>6.9</v>
      </c>
      <c r="K101" t="s">
        <v>77</v>
      </c>
    </row>
    <row r="102" spans="1:11" x14ac:dyDescent="0.25">
      <c r="A102" t="s">
        <v>513</v>
      </c>
      <c r="B102" s="2" t="s">
        <v>35</v>
      </c>
      <c r="C102" s="4" t="s">
        <v>136</v>
      </c>
      <c r="D102" t="s">
        <v>125</v>
      </c>
      <c r="E102" t="s">
        <v>97</v>
      </c>
      <c r="F102" s="4" t="s">
        <v>399</v>
      </c>
      <c r="G102" s="4" t="s">
        <v>400</v>
      </c>
      <c r="H102">
        <v>2026</v>
      </c>
      <c r="I102">
        <v>41.8</v>
      </c>
      <c r="K102" t="s">
        <v>77</v>
      </c>
    </row>
    <row r="103" spans="1:11" x14ac:dyDescent="0.25">
      <c r="A103" t="s">
        <v>514</v>
      </c>
      <c r="B103" s="2" t="s">
        <v>36</v>
      </c>
      <c r="C103" s="4" t="s">
        <v>136</v>
      </c>
      <c r="D103" t="s">
        <v>125</v>
      </c>
      <c r="E103" t="s">
        <v>98</v>
      </c>
      <c r="F103" s="4" t="s">
        <v>399</v>
      </c>
      <c r="G103" s="4" t="s">
        <v>400</v>
      </c>
      <c r="H103">
        <v>2026</v>
      </c>
      <c r="I103">
        <v>17.899999999999999</v>
      </c>
      <c r="K103" t="s">
        <v>77</v>
      </c>
    </row>
    <row r="104" spans="1:11" x14ac:dyDescent="0.25">
      <c r="A104" t="s">
        <v>515</v>
      </c>
      <c r="B104" s="2" t="s">
        <v>37</v>
      </c>
      <c r="C104" s="4" t="s">
        <v>136</v>
      </c>
      <c r="D104" t="s">
        <v>125</v>
      </c>
      <c r="E104" t="s">
        <v>99</v>
      </c>
      <c r="F104" s="4" t="s">
        <v>399</v>
      </c>
      <c r="G104" s="4" t="s">
        <v>400</v>
      </c>
      <c r="H104">
        <v>2026</v>
      </c>
      <c r="I104">
        <v>36</v>
      </c>
      <c r="K104" t="s">
        <v>77</v>
      </c>
    </row>
    <row r="105" spans="1:11" x14ac:dyDescent="0.25">
      <c r="A105" t="s">
        <v>516</v>
      </c>
      <c r="B105" s="2" t="s">
        <v>38</v>
      </c>
      <c r="C105" s="4" t="s">
        <v>136</v>
      </c>
      <c r="D105" t="s">
        <v>125</v>
      </c>
      <c r="E105" t="s">
        <v>99</v>
      </c>
      <c r="F105" s="4" t="s">
        <v>399</v>
      </c>
      <c r="G105" s="4" t="s">
        <v>400</v>
      </c>
      <c r="H105">
        <v>2026</v>
      </c>
      <c r="I105">
        <v>61</v>
      </c>
      <c r="K105" t="s">
        <v>77</v>
      </c>
    </row>
    <row r="106" spans="1:11" x14ac:dyDescent="0.25">
      <c r="A106" t="s">
        <v>517</v>
      </c>
      <c r="B106" s="2" t="s">
        <v>39</v>
      </c>
      <c r="C106" s="4" t="s">
        <v>136</v>
      </c>
      <c r="D106" t="s">
        <v>125</v>
      </c>
      <c r="E106" t="s">
        <v>100</v>
      </c>
      <c r="F106" s="4" t="s">
        <v>399</v>
      </c>
      <c r="G106" s="4" t="s">
        <v>400</v>
      </c>
      <c r="H106">
        <v>2026</v>
      </c>
      <c r="I106">
        <v>4</v>
      </c>
      <c r="K106" t="s">
        <v>77</v>
      </c>
    </row>
    <row r="107" spans="1:11" x14ac:dyDescent="0.25">
      <c r="A107" t="s">
        <v>518</v>
      </c>
      <c r="B107" s="2" t="s">
        <v>40</v>
      </c>
      <c r="C107" s="4" t="s">
        <v>136</v>
      </c>
      <c r="D107" t="s">
        <v>125</v>
      </c>
      <c r="E107" t="s">
        <v>100</v>
      </c>
      <c r="F107" s="4" t="s">
        <v>399</v>
      </c>
      <c r="G107" s="4" t="s">
        <v>400</v>
      </c>
      <c r="H107">
        <v>2026</v>
      </c>
      <c r="I107">
        <v>7.1</v>
      </c>
      <c r="K107" t="s">
        <v>77</v>
      </c>
    </row>
    <row r="108" spans="1:11" x14ac:dyDescent="0.25">
      <c r="A108" t="s">
        <v>519</v>
      </c>
      <c r="B108" s="2" t="s">
        <v>41</v>
      </c>
      <c r="C108" s="4" t="s">
        <v>136</v>
      </c>
      <c r="D108" t="s">
        <v>125</v>
      </c>
      <c r="E108" t="s">
        <v>101</v>
      </c>
      <c r="F108" s="4" t="s">
        <v>399</v>
      </c>
      <c r="G108" s="4" t="s">
        <v>400</v>
      </c>
      <c r="H108">
        <v>2026</v>
      </c>
      <c r="I108">
        <v>35</v>
      </c>
      <c r="K108" t="s">
        <v>77</v>
      </c>
    </row>
    <row r="109" spans="1:11" x14ac:dyDescent="0.25">
      <c r="A109" t="s">
        <v>520</v>
      </c>
      <c r="B109" s="2" t="s">
        <v>42</v>
      </c>
      <c r="C109" s="4" t="s">
        <v>136</v>
      </c>
      <c r="D109" t="s">
        <v>131</v>
      </c>
      <c r="E109" t="s">
        <v>102</v>
      </c>
      <c r="F109" s="4" t="s">
        <v>399</v>
      </c>
      <c r="G109" s="4" t="s">
        <v>400</v>
      </c>
      <c r="H109">
        <v>2026</v>
      </c>
      <c r="I109">
        <v>12.84</v>
      </c>
      <c r="K109" t="s">
        <v>77</v>
      </c>
    </row>
    <row r="110" spans="1:11" x14ac:dyDescent="0.25">
      <c r="A110" t="s">
        <v>521</v>
      </c>
      <c r="B110" s="2" t="s">
        <v>43</v>
      </c>
      <c r="C110" s="4" t="s">
        <v>136</v>
      </c>
      <c r="D110" t="s">
        <v>127</v>
      </c>
      <c r="E110" t="s">
        <v>103</v>
      </c>
      <c r="F110" s="4" t="s">
        <v>399</v>
      </c>
      <c r="G110" s="4" t="s">
        <v>400</v>
      </c>
      <c r="H110">
        <v>2026</v>
      </c>
      <c r="I110">
        <v>25</v>
      </c>
      <c r="K110" t="s">
        <v>77</v>
      </c>
    </row>
    <row r="111" spans="1:11" x14ac:dyDescent="0.25">
      <c r="A111" t="s">
        <v>522</v>
      </c>
      <c r="B111" s="2" t="s">
        <v>44</v>
      </c>
      <c r="C111" s="4" t="s">
        <v>136</v>
      </c>
      <c r="D111" t="s">
        <v>125</v>
      </c>
      <c r="E111" s="4" t="s">
        <v>104</v>
      </c>
      <c r="F111" s="4" t="s">
        <v>399</v>
      </c>
      <c r="G111" s="4" t="s">
        <v>400</v>
      </c>
      <c r="H111">
        <v>2026</v>
      </c>
      <c r="I111">
        <v>100</v>
      </c>
      <c r="K111" t="s">
        <v>77</v>
      </c>
    </row>
    <row r="112" spans="1:11" x14ac:dyDescent="0.25">
      <c r="A112" t="s">
        <v>523</v>
      </c>
      <c r="B112" s="2" t="s">
        <v>45</v>
      </c>
      <c r="C112" s="4" t="s">
        <v>136</v>
      </c>
      <c r="D112" t="s">
        <v>125</v>
      </c>
      <c r="E112" s="4" t="s">
        <v>104</v>
      </c>
      <c r="F112" s="4" t="s">
        <v>399</v>
      </c>
      <c r="G112" s="4" t="s">
        <v>400</v>
      </c>
      <c r="H112">
        <v>2026</v>
      </c>
      <c r="I112">
        <v>66</v>
      </c>
      <c r="K112" t="s">
        <v>77</v>
      </c>
    </row>
    <row r="113" spans="1:11" x14ac:dyDescent="0.25">
      <c r="A113" t="s">
        <v>524</v>
      </c>
      <c r="B113" s="2" t="s">
        <v>46</v>
      </c>
      <c r="C113" s="4" t="s">
        <v>136</v>
      </c>
      <c r="D113" t="s">
        <v>125</v>
      </c>
      <c r="E113" t="s">
        <v>78</v>
      </c>
      <c r="F113" s="4" t="s">
        <v>399</v>
      </c>
      <c r="G113" s="4" t="s">
        <v>400</v>
      </c>
      <c r="H113">
        <v>2026</v>
      </c>
      <c r="I113">
        <v>39.92</v>
      </c>
      <c r="K113" t="s">
        <v>77</v>
      </c>
    </row>
    <row r="114" spans="1:11" x14ac:dyDescent="0.25">
      <c r="A114" t="s">
        <v>525</v>
      </c>
      <c r="B114" s="2" t="s">
        <v>47</v>
      </c>
      <c r="C114" s="4" t="s">
        <v>136</v>
      </c>
      <c r="D114" t="s">
        <v>132</v>
      </c>
      <c r="E114" t="s">
        <v>105</v>
      </c>
      <c r="F114" s="4" t="s">
        <v>399</v>
      </c>
      <c r="G114" s="4" t="s">
        <v>400</v>
      </c>
      <c r="H114">
        <v>2026</v>
      </c>
      <c r="I114">
        <v>62</v>
      </c>
      <c r="K114" t="s">
        <v>77</v>
      </c>
    </row>
    <row r="115" spans="1:11" x14ac:dyDescent="0.25">
      <c r="A115" t="s">
        <v>526</v>
      </c>
      <c r="B115" s="2" t="s">
        <v>48</v>
      </c>
      <c r="C115" s="4" t="s">
        <v>136</v>
      </c>
      <c r="D115" t="s">
        <v>133</v>
      </c>
      <c r="E115" t="s">
        <v>106</v>
      </c>
      <c r="F115" s="4" t="s">
        <v>399</v>
      </c>
      <c r="G115" s="4" t="s">
        <v>400</v>
      </c>
      <c r="H115">
        <v>2026</v>
      </c>
      <c r="I115">
        <v>264</v>
      </c>
      <c r="K115" t="s">
        <v>77</v>
      </c>
    </row>
    <row r="116" spans="1:11" x14ac:dyDescent="0.25">
      <c r="A116" t="s">
        <v>527</v>
      </c>
      <c r="B116" s="2" t="s">
        <v>49</v>
      </c>
      <c r="C116" s="4" t="s">
        <v>136</v>
      </c>
      <c r="D116" t="s">
        <v>125</v>
      </c>
      <c r="E116" t="s">
        <v>107</v>
      </c>
      <c r="F116" s="4" t="s">
        <v>399</v>
      </c>
      <c r="G116" s="4" t="s">
        <v>400</v>
      </c>
      <c r="H116">
        <v>2026</v>
      </c>
      <c r="I116">
        <v>46.3</v>
      </c>
      <c r="K116" t="s">
        <v>77</v>
      </c>
    </row>
    <row r="117" spans="1:11" x14ac:dyDescent="0.25">
      <c r="A117" t="s">
        <v>528</v>
      </c>
      <c r="B117" s="2" t="s">
        <v>50</v>
      </c>
      <c r="C117" s="4" t="s">
        <v>136</v>
      </c>
      <c r="D117" t="s">
        <v>125</v>
      </c>
      <c r="E117" t="s">
        <v>107</v>
      </c>
      <c r="F117" s="4" t="s">
        <v>399</v>
      </c>
      <c r="G117" s="4" t="s">
        <v>400</v>
      </c>
      <c r="H117">
        <v>2026</v>
      </c>
      <c r="I117">
        <v>14.6</v>
      </c>
      <c r="K117" t="s">
        <v>77</v>
      </c>
    </row>
    <row r="118" spans="1:11" x14ac:dyDescent="0.25">
      <c r="A118" t="s">
        <v>529</v>
      </c>
      <c r="B118" s="2" t="s">
        <v>51</v>
      </c>
      <c r="C118" s="4" t="s">
        <v>136</v>
      </c>
      <c r="D118" t="s">
        <v>125</v>
      </c>
      <c r="E118" t="s">
        <v>107</v>
      </c>
      <c r="F118" s="4" t="s">
        <v>399</v>
      </c>
      <c r="G118" s="4" t="s">
        <v>400</v>
      </c>
      <c r="H118">
        <v>2026</v>
      </c>
      <c r="I118">
        <v>8.8000000000000007</v>
      </c>
      <c r="K118" t="s">
        <v>77</v>
      </c>
    </row>
    <row r="119" spans="1:11" x14ac:dyDescent="0.25">
      <c r="A119" t="s">
        <v>530</v>
      </c>
      <c r="B119" s="2" t="s">
        <v>52</v>
      </c>
      <c r="C119" s="4" t="s">
        <v>136</v>
      </c>
      <c r="D119" t="s">
        <v>125</v>
      </c>
      <c r="E119" t="s">
        <v>107</v>
      </c>
      <c r="F119" s="4" t="s">
        <v>399</v>
      </c>
      <c r="G119" s="4" t="s">
        <v>400</v>
      </c>
      <c r="H119">
        <v>2026</v>
      </c>
      <c r="I119">
        <v>15.66</v>
      </c>
      <c r="K119" t="s">
        <v>77</v>
      </c>
    </row>
    <row r="120" spans="1:11" x14ac:dyDescent="0.25">
      <c r="A120" t="s">
        <v>531</v>
      </c>
      <c r="B120" s="2" t="s">
        <v>53</v>
      </c>
      <c r="C120" s="4" t="s">
        <v>136</v>
      </c>
      <c r="D120" t="s">
        <v>126</v>
      </c>
      <c r="E120" t="s">
        <v>108</v>
      </c>
      <c r="F120" s="4" t="s">
        <v>399</v>
      </c>
      <c r="G120" s="4" t="s">
        <v>400</v>
      </c>
      <c r="H120">
        <v>2026</v>
      </c>
      <c r="I120">
        <v>3.02</v>
      </c>
      <c r="K120" t="s">
        <v>77</v>
      </c>
    </row>
    <row r="121" spans="1:11" x14ac:dyDescent="0.25">
      <c r="A121" t="s">
        <v>532</v>
      </c>
      <c r="B121" s="2" t="s">
        <v>54</v>
      </c>
      <c r="C121" s="4" t="s">
        <v>136</v>
      </c>
      <c r="D121" t="s">
        <v>134</v>
      </c>
      <c r="E121" t="s">
        <v>109</v>
      </c>
      <c r="F121" s="4" t="s">
        <v>399</v>
      </c>
      <c r="G121" s="4" t="s">
        <v>400</v>
      </c>
      <c r="H121">
        <v>2026</v>
      </c>
      <c r="I121">
        <v>59.5</v>
      </c>
      <c r="K121" t="s">
        <v>77</v>
      </c>
    </row>
    <row r="122" spans="1:11" x14ac:dyDescent="0.25">
      <c r="A122" t="s">
        <v>533</v>
      </c>
      <c r="B122" s="2" t="s">
        <v>55</v>
      </c>
      <c r="C122" s="4" t="s">
        <v>136</v>
      </c>
      <c r="D122" t="s">
        <v>129</v>
      </c>
      <c r="E122" t="s">
        <v>110</v>
      </c>
      <c r="F122" s="4" t="s">
        <v>399</v>
      </c>
      <c r="G122" s="4" t="s">
        <v>400</v>
      </c>
      <c r="H122">
        <v>2026</v>
      </c>
      <c r="I122">
        <v>2.02</v>
      </c>
      <c r="K122" t="s">
        <v>77</v>
      </c>
    </row>
    <row r="123" spans="1:11" x14ac:dyDescent="0.25">
      <c r="A123" t="s">
        <v>534</v>
      </c>
      <c r="B123" s="2" t="s">
        <v>56</v>
      </c>
      <c r="C123" s="4" t="s">
        <v>136</v>
      </c>
      <c r="D123" t="s">
        <v>125</v>
      </c>
      <c r="E123" t="s">
        <v>99</v>
      </c>
      <c r="F123" s="4" t="s">
        <v>399</v>
      </c>
      <c r="G123" s="4" t="s">
        <v>400</v>
      </c>
      <c r="H123">
        <v>2026</v>
      </c>
      <c r="I123">
        <v>40</v>
      </c>
      <c r="K123" t="s">
        <v>77</v>
      </c>
    </row>
    <row r="124" spans="1:11" x14ac:dyDescent="0.25">
      <c r="A124" t="s">
        <v>535</v>
      </c>
      <c r="B124" s="2" t="s">
        <v>59</v>
      </c>
      <c r="C124" s="4" t="s">
        <v>136</v>
      </c>
      <c r="D124" t="s">
        <v>125</v>
      </c>
      <c r="E124" t="s">
        <v>114</v>
      </c>
      <c r="F124" s="4" t="s">
        <v>399</v>
      </c>
      <c r="G124" s="4" t="s">
        <v>400</v>
      </c>
      <c r="H124">
        <v>2026</v>
      </c>
      <c r="I124">
        <v>63.56</v>
      </c>
      <c r="K124" t="s">
        <v>77</v>
      </c>
    </row>
    <row r="125" spans="1:11" x14ac:dyDescent="0.25">
      <c r="A125" t="s">
        <v>536</v>
      </c>
      <c r="B125" s="2" t="s">
        <v>60</v>
      </c>
      <c r="C125" s="4" t="s">
        <v>136</v>
      </c>
      <c r="D125" t="s">
        <v>125</v>
      </c>
      <c r="E125" t="s">
        <v>115</v>
      </c>
      <c r="F125" s="4" t="s">
        <v>399</v>
      </c>
      <c r="G125" s="4" t="s">
        <v>400</v>
      </c>
      <c r="H125">
        <v>2026</v>
      </c>
      <c r="I125">
        <v>57.64</v>
      </c>
      <c r="K125" t="s">
        <v>77</v>
      </c>
    </row>
    <row r="126" spans="1:11" x14ac:dyDescent="0.25">
      <c r="A126" t="s">
        <v>537</v>
      </c>
      <c r="B126" s="2" t="s">
        <v>61</v>
      </c>
      <c r="C126" s="4" t="s">
        <v>136</v>
      </c>
      <c r="D126" t="s">
        <v>125</v>
      </c>
      <c r="E126" t="s">
        <v>116</v>
      </c>
      <c r="F126" s="4" t="s">
        <v>399</v>
      </c>
      <c r="G126" s="4" t="s">
        <v>400</v>
      </c>
      <c r="H126">
        <v>2026</v>
      </c>
      <c r="I126">
        <v>45</v>
      </c>
      <c r="K126" t="s">
        <v>77</v>
      </c>
    </row>
    <row r="127" spans="1:11" x14ac:dyDescent="0.25">
      <c r="A127" t="s">
        <v>538</v>
      </c>
      <c r="B127" s="2" t="s">
        <v>62</v>
      </c>
      <c r="C127" s="4" t="s">
        <v>136</v>
      </c>
      <c r="D127" t="s">
        <v>125</v>
      </c>
      <c r="E127" t="s">
        <v>117</v>
      </c>
      <c r="F127" s="4" t="s">
        <v>399</v>
      </c>
      <c r="G127" s="4" t="s">
        <v>400</v>
      </c>
      <c r="H127">
        <v>2026</v>
      </c>
      <c r="I127">
        <v>7.7</v>
      </c>
      <c r="K127" t="s">
        <v>77</v>
      </c>
    </row>
    <row r="128" spans="1:11" x14ac:dyDescent="0.25">
      <c r="A128" t="s">
        <v>539</v>
      </c>
      <c r="B128" s="2" t="s">
        <v>63</v>
      </c>
      <c r="C128" s="4" t="s">
        <v>136</v>
      </c>
      <c r="D128" t="s">
        <v>125</v>
      </c>
      <c r="E128" t="s">
        <v>118</v>
      </c>
      <c r="F128" s="4" t="s">
        <v>399</v>
      </c>
      <c r="G128" s="4" t="s">
        <v>400</v>
      </c>
      <c r="H128">
        <v>2026</v>
      </c>
      <c r="I128">
        <v>55</v>
      </c>
      <c r="K128" t="s">
        <v>77</v>
      </c>
    </row>
    <row r="129" spans="1:11" x14ac:dyDescent="0.25">
      <c r="A129" t="s">
        <v>540</v>
      </c>
      <c r="B129" s="2" t="s">
        <v>64</v>
      </c>
      <c r="C129" s="4" t="s">
        <v>136</v>
      </c>
      <c r="D129" t="s">
        <v>125</v>
      </c>
      <c r="E129" t="s">
        <v>78</v>
      </c>
      <c r="F129" s="4" t="s">
        <v>399</v>
      </c>
      <c r="G129" s="4" t="s">
        <v>400</v>
      </c>
      <c r="H129">
        <v>2026</v>
      </c>
      <c r="I129">
        <v>71.599999999999994</v>
      </c>
      <c r="K129" t="s">
        <v>77</v>
      </c>
    </row>
    <row r="130" spans="1:11" x14ac:dyDescent="0.25">
      <c r="A130" t="s">
        <v>541</v>
      </c>
      <c r="B130" s="2" t="s">
        <v>65</v>
      </c>
      <c r="C130" s="4" t="s">
        <v>136</v>
      </c>
      <c r="D130" t="s">
        <v>125</v>
      </c>
      <c r="E130" t="s">
        <v>119</v>
      </c>
      <c r="F130" s="4" t="s">
        <v>399</v>
      </c>
      <c r="G130" s="4" t="s">
        <v>400</v>
      </c>
      <c r="H130">
        <v>2026</v>
      </c>
      <c r="I130">
        <v>25</v>
      </c>
      <c r="K130" t="s">
        <v>77</v>
      </c>
    </row>
    <row r="131" spans="1:11" x14ac:dyDescent="0.25">
      <c r="A131" t="s">
        <v>542</v>
      </c>
      <c r="B131" s="2" t="s">
        <v>66</v>
      </c>
      <c r="C131" s="4" t="s">
        <v>136</v>
      </c>
      <c r="D131" t="s">
        <v>125</v>
      </c>
      <c r="E131" t="s">
        <v>78</v>
      </c>
      <c r="F131" s="4" t="s">
        <v>399</v>
      </c>
      <c r="G131" s="4" t="s">
        <v>400</v>
      </c>
      <c r="H131">
        <v>2026</v>
      </c>
      <c r="I131">
        <v>9</v>
      </c>
      <c r="K131" t="s">
        <v>77</v>
      </c>
    </row>
    <row r="132" spans="1:11" x14ac:dyDescent="0.25">
      <c r="A132" t="s">
        <v>543</v>
      </c>
      <c r="B132" s="2" t="s">
        <v>67</v>
      </c>
      <c r="C132" s="4" t="s">
        <v>136</v>
      </c>
      <c r="D132" t="s">
        <v>125</v>
      </c>
      <c r="E132" t="s">
        <v>120</v>
      </c>
      <c r="F132" s="4" t="s">
        <v>399</v>
      </c>
      <c r="G132" s="4" t="s">
        <v>400</v>
      </c>
      <c r="H132">
        <v>2026</v>
      </c>
      <c r="I132">
        <v>95</v>
      </c>
      <c r="K132" t="s">
        <v>77</v>
      </c>
    </row>
    <row r="133" spans="1:11" x14ac:dyDescent="0.25">
      <c r="A133" t="s">
        <v>544</v>
      </c>
      <c r="B133" s="2" t="s">
        <v>68</v>
      </c>
      <c r="C133" s="4" t="s">
        <v>136</v>
      </c>
      <c r="D133" t="s">
        <v>125</v>
      </c>
      <c r="E133" t="s">
        <v>120</v>
      </c>
      <c r="F133" s="4" t="s">
        <v>399</v>
      </c>
      <c r="G133" s="4" t="s">
        <v>400</v>
      </c>
      <c r="H133">
        <v>2026</v>
      </c>
      <c r="I133">
        <v>58.02</v>
      </c>
      <c r="K133" t="s">
        <v>77</v>
      </c>
    </row>
    <row r="134" spans="1:11" x14ac:dyDescent="0.25">
      <c r="A134" t="s">
        <v>545</v>
      </c>
      <c r="B134" s="2" t="s">
        <v>69</v>
      </c>
      <c r="C134" s="4" t="s">
        <v>136</v>
      </c>
      <c r="D134" t="s">
        <v>125</v>
      </c>
      <c r="E134" t="s">
        <v>121</v>
      </c>
      <c r="F134" s="4" t="s">
        <v>399</v>
      </c>
      <c r="G134" s="4" t="s">
        <v>400</v>
      </c>
      <c r="H134">
        <v>2026</v>
      </c>
      <c r="I134">
        <v>20</v>
      </c>
      <c r="K134" t="s">
        <v>77</v>
      </c>
    </row>
    <row r="135" spans="1:11" x14ac:dyDescent="0.25">
      <c r="A135" t="s">
        <v>546</v>
      </c>
      <c r="B135" s="2" t="s">
        <v>70</v>
      </c>
      <c r="C135" s="4" t="s">
        <v>136</v>
      </c>
      <c r="D135" t="s">
        <v>125</v>
      </c>
      <c r="E135" t="s">
        <v>122</v>
      </c>
      <c r="F135" s="4" t="s">
        <v>399</v>
      </c>
      <c r="G135" s="4" t="s">
        <v>400</v>
      </c>
      <c r="H135">
        <v>2026</v>
      </c>
      <c r="I135">
        <v>40</v>
      </c>
      <c r="K135" t="s">
        <v>77</v>
      </c>
    </row>
    <row r="136" spans="1:11" x14ac:dyDescent="0.25">
      <c r="A136" t="s">
        <v>547</v>
      </c>
      <c r="B136" s="2" t="s">
        <v>71</v>
      </c>
      <c r="C136" s="4" t="s">
        <v>136</v>
      </c>
      <c r="D136" t="s">
        <v>125</v>
      </c>
      <c r="E136" t="s">
        <v>123</v>
      </c>
      <c r="F136" s="4" t="s">
        <v>399</v>
      </c>
      <c r="G136" s="4" t="s">
        <v>400</v>
      </c>
      <c r="H136">
        <v>2026</v>
      </c>
      <c r="I136">
        <v>66.8</v>
      </c>
      <c r="K136" t="s">
        <v>77</v>
      </c>
    </row>
    <row r="137" spans="1:11" x14ac:dyDescent="0.25">
      <c r="A137" t="s">
        <v>548</v>
      </c>
      <c r="B137" s="2" t="s">
        <v>72</v>
      </c>
      <c r="C137" s="4" t="s">
        <v>136</v>
      </c>
      <c r="D137" t="s">
        <v>125</v>
      </c>
      <c r="E137" t="s">
        <v>124</v>
      </c>
      <c r="F137" s="4" t="s">
        <v>399</v>
      </c>
      <c r="G137" s="4" t="s">
        <v>400</v>
      </c>
      <c r="H137">
        <v>2026</v>
      </c>
      <c r="I137">
        <v>60</v>
      </c>
      <c r="K137" t="s">
        <v>77</v>
      </c>
    </row>
    <row r="138" spans="1:11" x14ac:dyDescent="0.25">
      <c r="A138" t="s">
        <v>549</v>
      </c>
      <c r="B138" s="2" t="s">
        <v>2</v>
      </c>
      <c r="C138" s="4" t="s">
        <v>136</v>
      </c>
      <c r="D138" t="s">
        <v>125</v>
      </c>
      <c r="E138" t="s">
        <v>78</v>
      </c>
      <c r="F138" s="4" t="s">
        <v>399</v>
      </c>
      <c r="G138" s="4" t="s">
        <v>400</v>
      </c>
      <c r="H138">
        <v>2027</v>
      </c>
      <c r="I138">
        <v>36.07</v>
      </c>
      <c r="K138" t="s">
        <v>77</v>
      </c>
    </row>
    <row r="139" spans="1:11" x14ac:dyDescent="0.25">
      <c r="A139" t="s">
        <v>550</v>
      </c>
      <c r="B139" s="2" t="s">
        <v>3</v>
      </c>
      <c r="C139" s="4" t="s">
        <v>136</v>
      </c>
      <c r="D139" t="s">
        <v>125</v>
      </c>
      <c r="E139" t="s">
        <v>78</v>
      </c>
      <c r="F139" s="4" t="s">
        <v>399</v>
      </c>
      <c r="G139" s="4" t="s">
        <v>400</v>
      </c>
      <c r="H139">
        <v>2027</v>
      </c>
      <c r="I139">
        <v>64.84</v>
      </c>
      <c r="K139" t="s">
        <v>77</v>
      </c>
    </row>
    <row r="140" spans="1:11" x14ac:dyDescent="0.25">
      <c r="A140" t="s">
        <v>551</v>
      </c>
      <c r="B140" s="2" t="s">
        <v>4</v>
      </c>
      <c r="C140" s="4" t="s">
        <v>136</v>
      </c>
      <c r="D140" t="s">
        <v>126</v>
      </c>
      <c r="E140" t="s">
        <v>79</v>
      </c>
      <c r="F140" s="4" t="s">
        <v>399</v>
      </c>
      <c r="G140" s="4" t="s">
        <v>400</v>
      </c>
      <c r="H140">
        <v>2027</v>
      </c>
      <c r="I140">
        <v>66.38</v>
      </c>
      <c r="K140" t="s">
        <v>77</v>
      </c>
    </row>
    <row r="141" spans="1:11" x14ac:dyDescent="0.25">
      <c r="A141" t="s">
        <v>552</v>
      </c>
      <c r="B141" s="2" t="s">
        <v>5</v>
      </c>
      <c r="C141" s="4" t="s">
        <v>136</v>
      </c>
      <c r="D141" t="s">
        <v>125</v>
      </c>
      <c r="E141" t="s">
        <v>78</v>
      </c>
      <c r="F141" s="4" t="s">
        <v>399</v>
      </c>
      <c r="G141" s="4" t="s">
        <v>400</v>
      </c>
      <c r="H141">
        <v>2027</v>
      </c>
      <c r="I141">
        <v>85.94</v>
      </c>
      <c r="K141" t="s">
        <v>77</v>
      </c>
    </row>
    <row r="142" spans="1:11" x14ac:dyDescent="0.25">
      <c r="A142" t="s">
        <v>553</v>
      </c>
      <c r="B142" s="2" t="s">
        <v>6</v>
      </c>
      <c r="C142" s="4" t="s">
        <v>136</v>
      </c>
      <c r="D142" t="s">
        <v>125</v>
      </c>
      <c r="E142" t="s">
        <v>80</v>
      </c>
      <c r="F142" s="4" t="s">
        <v>399</v>
      </c>
      <c r="G142" s="4" t="s">
        <v>400</v>
      </c>
      <c r="H142">
        <v>2027</v>
      </c>
      <c r="I142">
        <v>9</v>
      </c>
      <c r="K142" t="s">
        <v>77</v>
      </c>
    </row>
    <row r="143" spans="1:11" x14ac:dyDescent="0.25">
      <c r="A143" t="s">
        <v>554</v>
      </c>
      <c r="B143" s="2" t="s">
        <v>7</v>
      </c>
      <c r="C143" s="4" t="s">
        <v>136</v>
      </c>
      <c r="D143" t="s">
        <v>125</v>
      </c>
      <c r="E143" t="s">
        <v>81</v>
      </c>
      <c r="F143" s="4" t="s">
        <v>399</v>
      </c>
      <c r="G143" s="4" t="s">
        <v>400</v>
      </c>
      <c r="H143">
        <v>2027</v>
      </c>
      <c r="I143">
        <v>57.26</v>
      </c>
      <c r="K143" t="s">
        <v>77</v>
      </c>
    </row>
    <row r="144" spans="1:11" x14ac:dyDescent="0.25">
      <c r="A144" t="s">
        <v>555</v>
      </c>
      <c r="B144" s="2" t="s">
        <v>8</v>
      </c>
      <c r="C144" s="4" t="s">
        <v>136</v>
      </c>
      <c r="D144" t="s">
        <v>125</v>
      </c>
      <c r="E144" t="s">
        <v>82</v>
      </c>
      <c r="F144" s="4" t="s">
        <v>399</v>
      </c>
      <c r="G144" s="4" t="s">
        <v>400</v>
      </c>
      <c r="H144">
        <v>2027</v>
      </c>
      <c r="I144">
        <v>20.95</v>
      </c>
      <c r="K144" t="s">
        <v>77</v>
      </c>
    </row>
    <row r="145" spans="1:11" x14ac:dyDescent="0.25">
      <c r="A145" t="s">
        <v>556</v>
      </c>
      <c r="B145" s="2" t="s">
        <v>9</v>
      </c>
      <c r="C145" s="4" t="s">
        <v>136</v>
      </c>
      <c r="D145" t="s">
        <v>125</v>
      </c>
      <c r="E145" t="s">
        <v>82</v>
      </c>
      <c r="F145" s="4" t="s">
        <v>399</v>
      </c>
      <c r="G145" s="4" t="s">
        <v>400</v>
      </c>
      <c r="H145">
        <v>2027</v>
      </c>
      <c r="I145">
        <v>23.77</v>
      </c>
      <c r="K145" t="s">
        <v>77</v>
      </c>
    </row>
    <row r="146" spans="1:11" x14ac:dyDescent="0.25">
      <c r="A146" t="s">
        <v>557</v>
      </c>
      <c r="B146" s="2" t="s">
        <v>10</v>
      </c>
      <c r="C146" s="4" t="s">
        <v>136</v>
      </c>
      <c r="D146" t="s">
        <v>125</v>
      </c>
      <c r="E146" t="s">
        <v>78</v>
      </c>
      <c r="F146" s="4" t="s">
        <v>399</v>
      </c>
      <c r="G146" s="4" t="s">
        <v>400</v>
      </c>
      <c r="H146">
        <v>2027</v>
      </c>
      <c r="I146">
        <v>17.93</v>
      </c>
      <c r="K146" t="s">
        <v>77</v>
      </c>
    </row>
    <row r="147" spans="1:11" x14ac:dyDescent="0.25">
      <c r="A147" t="s">
        <v>558</v>
      </c>
      <c r="B147" s="2" t="s">
        <v>11</v>
      </c>
      <c r="C147" s="4" t="s">
        <v>136</v>
      </c>
      <c r="D147" t="s">
        <v>125</v>
      </c>
      <c r="E147" t="s">
        <v>78</v>
      </c>
      <c r="F147" s="4" t="s">
        <v>399</v>
      </c>
      <c r="G147" s="4" t="s">
        <v>400</v>
      </c>
      <c r="H147">
        <v>2027</v>
      </c>
      <c r="I147">
        <v>83.54</v>
      </c>
      <c r="K147" t="s">
        <v>77</v>
      </c>
    </row>
    <row r="148" spans="1:11" x14ac:dyDescent="0.25">
      <c r="A148" t="s">
        <v>559</v>
      </c>
      <c r="B148" s="2" t="s">
        <v>12</v>
      </c>
      <c r="C148" s="4" t="s">
        <v>136</v>
      </c>
      <c r="D148" s="4" t="s">
        <v>125</v>
      </c>
      <c r="E148" t="s">
        <v>83</v>
      </c>
      <c r="F148" s="4" t="s">
        <v>399</v>
      </c>
      <c r="G148" s="4" t="s">
        <v>400</v>
      </c>
      <c r="H148">
        <v>2027</v>
      </c>
      <c r="I148">
        <v>79</v>
      </c>
      <c r="K148" t="s">
        <v>77</v>
      </c>
    </row>
    <row r="149" spans="1:11" x14ac:dyDescent="0.25">
      <c r="A149" t="s">
        <v>560</v>
      </c>
      <c r="B149" s="2" t="s">
        <v>13</v>
      </c>
      <c r="C149" s="4" t="s">
        <v>136</v>
      </c>
      <c r="D149" t="s">
        <v>127</v>
      </c>
      <c r="E149" t="s">
        <v>84</v>
      </c>
      <c r="F149" s="4" t="s">
        <v>399</v>
      </c>
      <c r="G149" s="4" t="s">
        <v>400</v>
      </c>
      <c r="H149">
        <v>2027</v>
      </c>
      <c r="I149">
        <v>17</v>
      </c>
      <c r="K149" t="s">
        <v>77</v>
      </c>
    </row>
    <row r="150" spans="1:11" x14ac:dyDescent="0.25">
      <c r="A150" t="s">
        <v>561</v>
      </c>
      <c r="B150" s="2" t="s">
        <v>14</v>
      </c>
      <c r="C150" s="4" t="s">
        <v>136</v>
      </c>
      <c r="D150" t="s">
        <v>125</v>
      </c>
      <c r="E150" t="s">
        <v>84</v>
      </c>
      <c r="F150" s="4" t="s">
        <v>399</v>
      </c>
      <c r="G150" s="4" t="s">
        <v>400</v>
      </c>
      <c r="H150">
        <v>2027</v>
      </c>
      <c r="I150">
        <v>72</v>
      </c>
      <c r="K150" t="s">
        <v>77</v>
      </c>
    </row>
    <row r="151" spans="1:11" x14ac:dyDescent="0.25">
      <c r="A151" t="s">
        <v>562</v>
      </c>
      <c r="B151" s="2" t="s">
        <v>15</v>
      </c>
      <c r="C151" s="4" t="s">
        <v>136</v>
      </c>
      <c r="D151" t="s">
        <v>125</v>
      </c>
      <c r="E151" t="s">
        <v>78</v>
      </c>
      <c r="F151" s="4" t="s">
        <v>399</v>
      </c>
      <c r="G151" s="4" t="s">
        <v>400</v>
      </c>
      <c r="H151">
        <v>2027</v>
      </c>
      <c r="I151">
        <v>46.87</v>
      </c>
      <c r="K151" t="s">
        <v>77</v>
      </c>
    </row>
    <row r="152" spans="1:11" x14ac:dyDescent="0.25">
      <c r="A152" t="s">
        <v>563</v>
      </c>
      <c r="B152" s="2" t="s">
        <v>16</v>
      </c>
      <c r="C152" s="4" t="s">
        <v>136</v>
      </c>
      <c r="D152" t="s">
        <v>128</v>
      </c>
      <c r="E152" t="s">
        <v>85</v>
      </c>
      <c r="F152" s="4" t="s">
        <v>399</v>
      </c>
      <c r="G152" s="4" t="s">
        <v>400</v>
      </c>
      <c r="H152">
        <v>2027</v>
      </c>
      <c r="I152">
        <v>5</v>
      </c>
      <c r="K152" t="s">
        <v>77</v>
      </c>
    </row>
    <row r="153" spans="1:11" x14ac:dyDescent="0.25">
      <c r="A153" t="s">
        <v>564</v>
      </c>
      <c r="B153" s="2" t="s">
        <v>17</v>
      </c>
      <c r="C153" s="4" t="s">
        <v>136</v>
      </c>
      <c r="D153" t="s">
        <v>125</v>
      </c>
      <c r="E153" t="s">
        <v>86</v>
      </c>
      <c r="F153" s="4" t="s">
        <v>399</v>
      </c>
      <c r="G153" s="4" t="s">
        <v>400</v>
      </c>
      <c r="H153">
        <v>2027</v>
      </c>
      <c r="I153">
        <v>80</v>
      </c>
      <c r="K153" t="s">
        <v>77</v>
      </c>
    </row>
    <row r="154" spans="1:11" x14ac:dyDescent="0.25">
      <c r="A154" t="s">
        <v>565</v>
      </c>
      <c r="B154" s="3" t="s">
        <v>18</v>
      </c>
      <c r="C154" s="4" t="s">
        <v>136</v>
      </c>
      <c r="D154" t="s">
        <v>125</v>
      </c>
      <c r="E154" t="s">
        <v>87</v>
      </c>
      <c r="F154" s="4" t="s">
        <v>399</v>
      </c>
      <c r="G154" s="4" t="s">
        <v>400</v>
      </c>
      <c r="H154">
        <v>2027</v>
      </c>
      <c r="I154">
        <v>92</v>
      </c>
      <c r="K154" t="s">
        <v>77</v>
      </c>
    </row>
    <row r="155" spans="1:11" x14ac:dyDescent="0.25">
      <c r="A155" t="s">
        <v>566</v>
      </c>
      <c r="B155" s="2" t="s">
        <v>19</v>
      </c>
      <c r="C155" s="4" t="s">
        <v>136</v>
      </c>
      <c r="D155" t="s">
        <v>125</v>
      </c>
      <c r="E155" t="s">
        <v>84</v>
      </c>
      <c r="F155" s="4" t="s">
        <v>399</v>
      </c>
      <c r="G155" s="4" t="s">
        <v>400</v>
      </c>
      <c r="H155">
        <v>2027</v>
      </c>
      <c r="I155">
        <v>100</v>
      </c>
      <c r="K155" t="s">
        <v>77</v>
      </c>
    </row>
    <row r="156" spans="1:11" x14ac:dyDescent="0.25">
      <c r="A156" t="s">
        <v>567</v>
      </c>
      <c r="B156" s="2" t="s">
        <v>20</v>
      </c>
      <c r="C156" s="4" t="s">
        <v>136</v>
      </c>
      <c r="D156" t="s">
        <v>125</v>
      </c>
      <c r="E156" t="s">
        <v>84</v>
      </c>
      <c r="F156" s="4" t="s">
        <v>399</v>
      </c>
      <c r="G156" s="4" t="s">
        <v>400</v>
      </c>
      <c r="H156">
        <v>2027</v>
      </c>
      <c r="I156">
        <v>45</v>
      </c>
      <c r="K156" t="s">
        <v>77</v>
      </c>
    </row>
    <row r="157" spans="1:11" x14ac:dyDescent="0.25">
      <c r="A157" t="s">
        <v>568</v>
      </c>
      <c r="B157" s="2" t="s">
        <v>21</v>
      </c>
      <c r="C157" s="4" t="s">
        <v>136</v>
      </c>
      <c r="D157" t="s">
        <v>125</v>
      </c>
      <c r="E157" t="s">
        <v>88</v>
      </c>
      <c r="F157" s="4" t="s">
        <v>399</v>
      </c>
      <c r="G157" s="4" t="s">
        <v>400</v>
      </c>
      <c r="H157">
        <v>2027</v>
      </c>
      <c r="I157">
        <v>90</v>
      </c>
      <c r="K157" t="s">
        <v>77</v>
      </c>
    </row>
    <row r="158" spans="1:11" x14ac:dyDescent="0.25">
      <c r="A158" t="s">
        <v>569</v>
      </c>
      <c r="B158" s="3" t="s">
        <v>22</v>
      </c>
      <c r="C158" s="4" t="s">
        <v>136</v>
      </c>
      <c r="D158" t="s">
        <v>129</v>
      </c>
      <c r="E158" t="s">
        <v>89</v>
      </c>
      <c r="F158" s="4" t="s">
        <v>399</v>
      </c>
      <c r="G158" s="4" t="s">
        <v>400</v>
      </c>
      <c r="H158">
        <v>2027</v>
      </c>
      <c r="I158">
        <v>100</v>
      </c>
      <c r="K158" t="s">
        <v>77</v>
      </c>
    </row>
    <row r="159" spans="1:11" x14ac:dyDescent="0.25">
      <c r="A159" t="s">
        <v>570</v>
      </c>
      <c r="B159" s="2" t="s">
        <v>23</v>
      </c>
      <c r="C159" s="4" t="s">
        <v>136</v>
      </c>
      <c r="D159" t="s">
        <v>125</v>
      </c>
      <c r="E159" t="s">
        <v>90</v>
      </c>
      <c r="F159" s="4" t="s">
        <v>399</v>
      </c>
      <c r="G159" s="4" t="s">
        <v>400</v>
      </c>
      <c r="H159">
        <v>2027</v>
      </c>
      <c r="I159">
        <v>6.5</v>
      </c>
      <c r="K159" t="s">
        <v>77</v>
      </c>
    </row>
    <row r="160" spans="1:11" x14ac:dyDescent="0.25">
      <c r="A160" t="s">
        <v>571</v>
      </c>
      <c r="B160" s="2" t="s">
        <v>24</v>
      </c>
      <c r="C160" s="4" t="s">
        <v>136</v>
      </c>
      <c r="D160" t="s">
        <v>130</v>
      </c>
      <c r="E160" t="s">
        <v>78</v>
      </c>
      <c r="F160" s="4" t="s">
        <v>399</v>
      </c>
      <c r="G160" s="4" t="s">
        <v>400</v>
      </c>
      <c r="H160">
        <v>2027</v>
      </c>
      <c r="I160">
        <v>0.29399999999999998</v>
      </c>
      <c r="K160" t="s">
        <v>77</v>
      </c>
    </row>
    <row r="161" spans="1:11" x14ac:dyDescent="0.25">
      <c r="A161" t="s">
        <v>572</v>
      </c>
      <c r="B161" s="2" t="s">
        <v>25</v>
      </c>
      <c r="C161" s="4" t="s">
        <v>136</v>
      </c>
      <c r="D161" t="s">
        <v>125</v>
      </c>
      <c r="E161" t="s">
        <v>91</v>
      </c>
      <c r="F161" s="4" t="s">
        <v>399</v>
      </c>
      <c r="G161" s="4" t="s">
        <v>400</v>
      </c>
      <c r="H161">
        <v>2027</v>
      </c>
      <c r="I161">
        <v>94</v>
      </c>
      <c r="K161" t="s">
        <v>77</v>
      </c>
    </row>
    <row r="162" spans="1:11" x14ac:dyDescent="0.25">
      <c r="A162" t="s">
        <v>573</v>
      </c>
      <c r="B162" s="2" t="s">
        <v>26</v>
      </c>
      <c r="C162" s="4" t="s">
        <v>136</v>
      </c>
      <c r="D162" t="s">
        <v>125</v>
      </c>
      <c r="E162" t="s">
        <v>92</v>
      </c>
      <c r="F162" s="4" t="s">
        <v>399</v>
      </c>
      <c r="G162" s="4" t="s">
        <v>400</v>
      </c>
      <c r="H162">
        <v>2027</v>
      </c>
      <c r="I162">
        <v>85</v>
      </c>
      <c r="K162" t="s">
        <v>77</v>
      </c>
    </row>
    <row r="163" spans="1:11" x14ac:dyDescent="0.25">
      <c r="A163" t="s">
        <v>574</v>
      </c>
      <c r="B163" s="3" t="s">
        <v>27</v>
      </c>
      <c r="C163" s="4" t="s">
        <v>136</v>
      </c>
      <c r="D163" t="s">
        <v>125</v>
      </c>
      <c r="E163" t="s">
        <v>93</v>
      </c>
      <c r="F163" s="4" t="s">
        <v>399</v>
      </c>
      <c r="G163" s="4" t="s">
        <v>400</v>
      </c>
      <c r="H163">
        <v>2027</v>
      </c>
      <c r="I163">
        <v>9.3000000000000007</v>
      </c>
      <c r="K163" t="s">
        <v>77</v>
      </c>
    </row>
    <row r="164" spans="1:11" x14ac:dyDescent="0.25">
      <c r="A164" t="s">
        <v>575</v>
      </c>
      <c r="B164" s="2" t="s">
        <v>29</v>
      </c>
      <c r="C164" s="4" t="s">
        <v>136</v>
      </c>
      <c r="D164" t="s">
        <v>125</v>
      </c>
      <c r="E164" t="s">
        <v>95</v>
      </c>
      <c r="F164" s="4" t="s">
        <v>399</v>
      </c>
      <c r="G164" s="4" t="s">
        <v>400</v>
      </c>
      <c r="H164">
        <v>2027</v>
      </c>
      <c r="I164">
        <v>7.9</v>
      </c>
      <c r="K164" t="s">
        <v>77</v>
      </c>
    </row>
    <row r="165" spans="1:11" x14ac:dyDescent="0.25">
      <c r="A165" t="s">
        <v>576</v>
      </c>
      <c r="B165" s="2" t="s">
        <v>30</v>
      </c>
      <c r="C165" s="4" t="s">
        <v>136</v>
      </c>
      <c r="D165" t="s">
        <v>125</v>
      </c>
      <c r="E165" t="s">
        <v>90</v>
      </c>
      <c r="F165" s="4" t="s">
        <v>399</v>
      </c>
      <c r="G165" s="4" t="s">
        <v>400</v>
      </c>
      <c r="H165">
        <v>2027</v>
      </c>
      <c r="I165">
        <v>29.91</v>
      </c>
      <c r="K165" t="s">
        <v>77</v>
      </c>
    </row>
    <row r="166" spans="1:11" x14ac:dyDescent="0.25">
      <c r="A166" t="s">
        <v>577</v>
      </c>
      <c r="B166" s="2" t="s">
        <v>31</v>
      </c>
      <c r="C166" s="4" t="s">
        <v>136</v>
      </c>
      <c r="D166" t="s">
        <v>125</v>
      </c>
      <c r="E166" t="s">
        <v>96</v>
      </c>
      <c r="F166" s="4" t="s">
        <v>399</v>
      </c>
      <c r="G166" s="4" t="s">
        <v>400</v>
      </c>
      <c r="H166">
        <v>2027</v>
      </c>
      <c r="I166">
        <v>49</v>
      </c>
      <c r="K166" t="s">
        <v>77</v>
      </c>
    </row>
    <row r="167" spans="1:11" x14ac:dyDescent="0.25">
      <c r="A167" t="s">
        <v>578</v>
      </c>
      <c r="B167" s="3" t="s">
        <v>32</v>
      </c>
      <c r="C167" s="4" t="s">
        <v>136</v>
      </c>
      <c r="D167" t="s">
        <v>125</v>
      </c>
      <c r="E167" t="s">
        <v>96</v>
      </c>
      <c r="F167" s="4" t="s">
        <v>399</v>
      </c>
      <c r="G167" s="4" t="s">
        <v>400</v>
      </c>
      <c r="H167">
        <v>2027</v>
      </c>
      <c r="I167">
        <v>8</v>
      </c>
      <c r="K167" t="s">
        <v>77</v>
      </c>
    </row>
    <row r="168" spans="1:11" x14ac:dyDescent="0.25">
      <c r="A168" t="s">
        <v>579</v>
      </c>
      <c r="B168" s="3" t="s">
        <v>33</v>
      </c>
      <c r="C168" s="4" t="s">
        <v>136</v>
      </c>
      <c r="D168" t="s">
        <v>125</v>
      </c>
      <c r="E168" t="s">
        <v>96</v>
      </c>
      <c r="F168" s="4" t="s">
        <v>399</v>
      </c>
      <c r="G168" s="4" t="s">
        <v>400</v>
      </c>
      <c r="H168">
        <v>2027</v>
      </c>
      <c r="I168">
        <v>4</v>
      </c>
      <c r="K168" t="s">
        <v>77</v>
      </c>
    </row>
    <row r="169" spans="1:11" x14ac:dyDescent="0.25">
      <c r="A169" t="s">
        <v>580</v>
      </c>
      <c r="B169" s="2" t="s">
        <v>34</v>
      </c>
      <c r="C169" s="4" t="s">
        <v>136</v>
      </c>
      <c r="D169" t="s">
        <v>125</v>
      </c>
      <c r="E169" t="s">
        <v>90</v>
      </c>
      <c r="F169" s="4" t="s">
        <v>399</v>
      </c>
      <c r="G169" s="4" t="s">
        <v>400</v>
      </c>
      <c r="H169">
        <v>2027</v>
      </c>
      <c r="I169">
        <v>6.8</v>
      </c>
      <c r="K169" t="s">
        <v>77</v>
      </c>
    </row>
    <row r="170" spans="1:11" x14ac:dyDescent="0.25">
      <c r="A170" t="s">
        <v>581</v>
      </c>
      <c r="B170" s="2" t="s">
        <v>35</v>
      </c>
      <c r="C170" s="4" t="s">
        <v>136</v>
      </c>
      <c r="D170" t="s">
        <v>125</v>
      </c>
      <c r="E170" t="s">
        <v>97</v>
      </c>
      <c r="F170" s="4" t="s">
        <v>399</v>
      </c>
      <c r="G170" s="4" t="s">
        <v>400</v>
      </c>
      <c r="H170">
        <v>2027</v>
      </c>
      <c r="I170">
        <v>42.7</v>
      </c>
      <c r="K170" t="s">
        <v>77</v>
      </c>
    </row>
    <row r="171" spans="1:11" x14ac:dyDescent="0.25">
      <c r="A171" t="s">
        <v>582</v>
      </c>
      <c r="B171" s="2" t="s">
        <v>36</v>
      </c>
      <c r="C171" s="4" t="s">
        <v>136</v>
      </c>
      <c r="D171" t="s">
        <v>125</v>
      </c>
      <c r="E171" t="s">
        <v>98</v>
      </c>
      <c r="F171" s="4" t="s">
        <v>399</v>
      </c>
      <c r="G171" s="4" t="s">
        <v>400</v>
      </c>
      <c r="H171">
        <v>2027</v>
      </c>
      <c r="I171">
        <v>19.600000000000001</v>
      </c>
      <c r="K171" t="s">
        <v>77</v>
      </c>
    </row>
    <row r="172" spans="1:11" x14ac:dyDescent="0.25">
      <c r="A172" t="s">
        <v>583</v>
      </c>
      <c r="B172" s="2" t="s">
        <v>37</v>
      </c>
      <c r="C172" s="4" t="s">
        <v>136</v>
      </c>
      <c r="D172" t="s">
        <v>125</v>
      </c>
      <c r="E172" t="s">
        <v>99</v>
      </c>
      <c r="F172" s="4" t="s">
        <v>399</v>
      </c>
      <c r="G172" s="4" t="s">
        <v>400</v>
      </c>
      <c r="H172">
        <v>2027</v>
      </c>
      <c r="I172">
        <v>40</v>
      </c>
      <c r="K172" t="s">
        <v>77</v>
      </c>
    </row>
    <row r="173" spans="1:11" x14ac:dyDescent="0.25">
      <c r="A173" t="s">
        <v>584</v>
      </c>
      <c r="B173" s="2" t="s">
        <v>38</v>
      </c>
      <c r="C173" s="4" t="s">
        <v>136</v>
      </c>
      <c r="D173" t="s">
        <v>125</v>
      </c>
      <c r="E173" t="s">
        <v>99</v>
      </c>
      <c r="F173" s="4" t="s">
        <v>399</v>
      </c>
      <c r="G173" s="4" t="s">
        <v>400</v>
      </c>
      <c r="H173">
        <v>2027</v>
      </c>
      <c r="I173">
        <v>62</v>
      </c>
      <c r="K173" t="s">
        <v>77</v>
      </c>
    </row>
    <row r="174" spans="1:11" x14ac:dyDescent="0.25">
      <c r="A174" t="s">
        <v>585</v>
      </c>
      <c r="B174" s="2" t="s">
        <v>39</v>
      </c>
      <c r="C174" s="4" t="s">
        <v>136</v>
      </c>
      <c r="D174" t="s">
        <v>125</v>
      </c>
      <c r="E174" t="s">
        <v>100</v>
      </c>
      <c r="F174" s="4" t="s">
        <v>399</v>
      </c>
      <c r="G174" s="4" t="s">
        <v>400</v>
      </c>
      <c r="H174">
        <v>2027</v>
      </c>
      <c r="I174">
        <v>4.3</v>
      </c>
      <c r="K174" t="s">
        <v>77</v>
      </c>
    </row>
    <row r="175" spans="1:11" x14ac:dyDescent="0.25">
      <c r="A175" t="s">
        <v>586</v>
      </c>
      <c r="B175" s="2" t="s">
        <v>40</v>
      </c>
      <c r="C175" s="4" t="s">
        <v>136</v>
      </c>
      <c r="D175" t="s">
        <v>125</v>
      </c>
      <c r="E175" t="s">
        <v>100</v>
      </c>
      <c r="F175" s="4" t="s">
        <v>399</v>
      </c>
      <c r="G175" s="4" t="s">
        <v>400</v>
      </c>
      <c r="H175">
        <v>2027</v>
      </c>
      <c r="I175">
        <v>7.3</v>
      </c>
      <c r="K175" t="s">
        <v>77</v>
      </c>
    </row>
    <row r="176" spans="1:11" x14ac:dyDescent="0.25">
      <c r="A176" t="s">
        <v>587</v>
      </c>
      <c r="B176" s="2" t="s">
        <v>41</v>
      </c>
      <c r="C176" s="4" t="s">
        <v>136</v>
      </c>
      <c r="D176" t="s">
        <v>125</v>
      </c>
      <c r="E176" t="s">
        <v>101</v>
      </c>
      <c r="F176" s="4" t="s">
        <v>399</v>
      </c>
      <c r="G176" s="4" t="s">
        <v>400</v>
      </c>
      <c r="H176">
        <v>2027</v>
      </c>
      <c r="I176">
        <v>41.11</v>
      </c>
      <c r="K176" t="s">
        <v>77</v>
      </c>
    </row>
    <row r="177" spans="1:11" x14ac:dyDescent="0.25">
      <c r="A177" t="s">
        <v>588</v>
      </c>
      <c r="B177" s="2" t="s">
        <v>42</v>
      </c>
      <c r="C177" s="4" t="s">
        <v>136</v>
      </c>
      <c r="D177" t="s">
        <v>131</v>
      </c>
      <c r="E177" t="s">
        <v>102</v>
      </c>
      <c r="F177" s="4" t="s">
        <v>399</v>
      </c>
      <c r="G177" s="4" t="s">
        <v>400</v>
      </c>
      <c r="H177">
        <v>2027</v>
      </c>
      <c r="I177">
        <v>13.11</v>
      </c>
      <c r="K177" t="s">
        <v>77</v>
      </c>
    </row>
    <row r="178" spans="1:11" x14ac:dyDescent="0.25">
      <c r="A178" t="s">
        <v>589</v>
      </c>
      <c r="B178" s="2" t="s">
        <v>43</v>
      </c>
      <c r="C178" s="4" t="s">
        <v>136</v>
      </c>
      <c r="D178" t="s">
        <v>127</v>
      </c>
      <c r="E178" t="s">
        <v>103</v>
      </c>
      <c r="F178" s="4" t="s">
        <v>399</v>
      </c>
      <c r="G178" s="4" t="s">
        <v>400</v>
      </c>
      <c r="H178">
        <v>2027</v>
      </c>
      <c r="I178">
        <v>24</v>
      </c>
      <c r="K178" t="s">
        <v>77</v>
      </c>
    </row>
    <row r="179" spans="1:11" x14ac:dyDescent="0.25">
      <c r="A179" t="s">
        <v>590</v>
      </c>
      <c r="B179" s="2" t="s">
        <v>44</v>
      </c>
      <c r="C179" s="4" t="s">
        <v>136</v>
      </c>
      <c r="D179" t="s">
        <v>125</v>
      </c>
      <c r="E179" s="4" t="s">
        <v>104</v>
      </c>
      <c r="F179" s="4" t="s">
        <v>399</v>
      </c>
      <c r="G179" s="4" t="s">
        <v>400</v>
      </c>
      <c r="H179">
        <v>2027</v>
      </c>
      <c r="I179">
        <v>100</v>
      </c>
      <c r="K179" t="s">
        <v>77</v>
      </c>
    </row>
    <row r="180" spans="1:11" x14ac:dyDescent="0.25">
      <c r="A180" t="s">
        <v>591</v>
      </c>
      <c r="B180" s="2" t="s">
        <v>45</v>
      </c>
      <c r="C180" s="4" t="s">
        <v>136</v>
      </c>
      <c r="D180" t="s">
        <v>125</v>
      </c>
      <c r="E180" s="4" t="s">
        <v>104</v>
      </c>
      <c r="F180" s="4" t="s">
        <v>399</v>
      </c>
      <c r="G180" s="4" t="s">
        <v>400</v>
      </c>
      <c r="H180">
        <v>2027</v>
      </c>
      <c r="I180">
        <v>70</v>
      </c>
      <c r="K180" t="s">
        <v>77</v>
      </c>
    </row>
    <row r="181" spans="1:11" x14ac:dyDescent="0.25">
      <c r="A181" t="s">
        <v>592</v>
      </c>
      <c r="B181" s="2" t="s">
        <v>46</v>
      </c>
      <c r="C181" s="4" t="s">
        <v>136</v>
      </c>
      <c r="D181" t="s">
        <v>125</v>
      </c>
      <c r="E181" t="s">
        <v>78</v>
      </c>
      <c r="F181" s="4" t="s">
        <v>399</v>
      </c>
      <c r="G181" s="4" t="s">
        <v>400</v>
      </c>
      <c r="H181">
        <v>2027</v>
      </c>
      <c r="I181">
        <v>39.92</v>
      </c>
      <c r="K181" t="s">
        <v>77</v>
      </c>
    </row>
    <row r="182" spans="1:11" x14ac:dyDescent="0.25">
      <c r="A182" t="s">
        <v>593</v>
      </c>
      <c r="B182" s="2" t="s">
        <v>47</v>
      </c>
      <c r="C182" s="4" t="s">
        <v>136</v>
      </c>
      <c r="D182" t="s">
        <v>132</v>
      </c>
      <c r="E182" t="s">
        <v>105</v>
      </c>
      <c r="F182" s="4" t="s">
        <v>399</v>
      </c>
      <c r="G182" s="4" t="s">
        <v>400</v>
      </c>
      <c r="H182">
        <v>2027</v>
      </c>
      <c r="I182">
        <v>59</v>
      </c>
      <c r="K182" t="s">
        <v>77</v>
      </c>
    </row>
    <row r="183" spans="1:11" x14ac:dyDescent="0.25">
      <c r="A183" t="s">
        <v>594</v>
      </c>
      <c r="B183" s="2" t="s">
        <v>48</v>
      </c>
      <c r="C183" s="4" t="s">
        <v>136</v>
      </c>
      <c r="D183" t="s">
        <v>133</v>
      </c>
      <c r="E183" t="s">
        <v>106</v>
      </c>
      <c r="F183" s="4" t="s">
        <v>399</v>
      </c>
      <c r="G183" s="4" t="s">
        <v>400</v>
      </c>
      <c r="H183">
        <v>2027</v>
      </c>
      <c r="I183">
        <v>264</v>
      </c>
      <c r="K183" t="s">
        <v>77</v>
      </c>
    </row>
    <row r="184" spans="1:11" x14ac:dyDescent="0.25">
      <c r="A184" t="s">
        <v>595</v>
      </c>
      <c r="B184" s="2" t="s">
        <v>49</v>
      </c>
      <c r="C184" s="4" t="s">
        <v>136</v>
      </c>
      <c r="D184" t="s">
        <v>125</v>
      </c>
      <c r="E184" t="s">
        <v>107</v>
      </c>
      <c r="F184" s="4" t="s">
        <v>399</v>
      </c>
      <c r="G184" s="4" t="s">
        <v>400</v>
      </c>
      <c r="H184">
        <v>2027</v>
      </c>
      <c r="I184">
        <v>48.3</v>
      </c>
      <c r="K184" t="s">
        <v>77</v>
      </c>
    </row>
    <row r="185" spans="1:11" x14ac:dyDescent="0.25">
      <c r="A185" t="s">
        <v>596</v>
      </c>
      <c r="B185" s="2" t="s">
        <v>50</v>
      </c>
      <c r="C185" s="4" t="s">
        <v>136</v>
      </c>
      <c r="D185" t="s">
        <v>125</v>
      </c>
      <c r="E185" t="s">
        <v>107</v>
      </c>
      <c r="F185" s="4" t="s">
        <v>399</v>
      </c>
      <c r="G185" s="4" t="s">
        <v>400</v>
      </c>
      <c r="H185">
        <v>2027</v>
      </c>
      <c r="I185">
        <v>15.6</v>
      </c>
      <c r="K185" t="s">
        <v>77</v>
      </c>
    </row>
    <row r="186" spans="1:11" x14ac:dyDescent="0.25">
      <c r="A186" t="s">
        <v>597</v>
      </c>
      <c r="B186" s="2" t="s">
        <v>51</v>
      </c>
      <c r="C186" s="4" t="s">
        <v>136</v>
      </c>
      <c r="D186" t="s">
        <v>125</v>
      </c>
      <c r="E186" t="s">
        <v>107</v>
      </c>
      <c r="F186" s="4" t="s">
        <v>399</v>
      </c>
      <c r="G186" s="4" t="s">
        <v>400</v>
      </c>
      <c r="H186">
        <v>2027</v>
      </c>
      <c r="I186">
        <v>9.5500000000000007</v>
      </c>
      <c r="K186" t="s">
        <v>77</v>
      </c>
    </row>
    <row r="187" spans="1:11" x14ac:dyDescent="0.25">
      <c r="A187" t="s">
        <v>598</v>
      </c>
      <c r="B187" s="2" t="s">
        <v>52</v>
      </c>
      <c r="C187" s="4" t="s">
        <v>136</v>
      </c>
      <c r="D187" t="s">
        <v>125</v>
      </c>
      <c r="E187" t="s">
        <v>107</v>
      </c>
      <c r="F187" s="4" t="s">
        <v>399</v>
      </c>
      <c r="G187" s="4" t="s">
        <v>400</v>
      </c>
      <c r="H187">
        <v>2027</v>
      </c>
      <c r="I187">
        <v>16.64</v>
      </c>
      <c r="K187" t="s">
        <v>77</v>
      </c>
    </row>
    <row r="188" spans="1:11" x14ac:dyDescent="0.25">
      <c r="A188" t="s">
        <v>599</v>
      </c>
      <c r="B188" s="2" t="s">
        <v>53</v>
      </c>
      <c r="C188" s="4" t="s">
        <v>136</v>
      </c>
      <c r="D188" t="s">
        <v>126</v>
      </c>
      <c r="E188" t="s">
        <v>108</v>
      </c>
      <c r="F188" s="4" t="s">
        <v>399</v>
      </c>
      <c r="G188" s="4" t="s">
        <v>400</v>
      </c>
      <c r="H188">
        <v>2027</v>
      </c>
      <c r="I188">
        <v>3.17</v>
      </c>
      <c r="K188" t="s">
        <v>77</v>
      </c>
    </row>
    <row r="189" spans="1:11" x14ac:dyDescent="0.25">
      <c r="A189" t="s">
        <v>600</v>
      </c>
      <c r="B189" s="2" t="s">
        <v>54</v>
      </c>
      <c r="C189" s="4" t="s">
        <v>136</v>
      </c>
      <c r="D189" t="s">
        <v>134</v>
      </c>
      <c r="E189" t="s">
        <v>109</v>
      </c>
      <c r="F189" s="4" t="s">
        <v>399</v>
      </c>
      <c r="G189" s="4" t="s">
        <v>400</v>
      </c>
      <c r="H189">
        <v>2027</v>
      </c>
      <c r="I189">
        <v>58.04</v>
      </c>
      <c r="K189" t="s">
        <v>77</v>
      </c>
    </row>
    <row r="190" spans="1:11" x14ac:dyDescent="0.25">
      <c r="A190" t="s">
        <v>601</v>
      </c>
      <c r="B190" s="2" t="s">
        <v>55</v>
      </c>
      <c r="C190" s="4" t="s">
        <v>136</v>
      </c>
      <c r="D190" t="s">
        <v>129</v>
      </c>
      <c r="E190" t="s">
        <v>110</v>
      </c>
      <c r="F190" s="4" t="s">
        <v>399</v>
      </c>
      <c r="G190" s="4" t="s">
        <v>400</v>
      </c>
      <c r="H190">
        <v>2027</v>
      </c>
      <c r="I190">
        <v>1.99</v>
      </c>
      <c r="K190" t="s">
        <v>77</v>
      </c>
    </row>
    <row r="191" spans="1:11" x14ac:dyDescent="0.25">
      <c r="A191" t="s">
        <v>602</v>
      </c>
      <c r="B191" s="2" t="s">
        <v>56</v>
      </c>
      <c r="C191" s="4" t="s">
        <v>136</v>
      </c>
      <c r="D191" t="s">
        <v>125</v>
      </c>
      <c r="E191" t="s">
        <v>99</v>
      </c>
      <c r="F191" s="4" t="s">
        <v>399</v>
      </c>
      <c r="G191" s="4" t="s">
        <v>400</v>
      </c>
      <c r="H191">
        <v>2027</v>
      </c>
      <c r="I191">
        <v>57</v>
      </c>
      <c r="K191" t="s">
        <v>77</v>
      </c>
    </row>
    <row r="192" spans="1:11" x14ac:dyDescent="0.25">
      <c r="A192" t="s">
        <v>603</v>
      </c>
      <c r="B192" s="2" t="s">
        <v>59</v>
      </c>
      <c r="C192" s="4" t="s">
        <v>136</v>
      </c>
      <c r="D192" t="s">
        <v>125</v>
      </c>
      <c r="E192" t="s">
        <v>114</v>
      </c>
      <c r="F192" s="4" t="s">
        <v>399</v>
      </c>
      <c r="G192" s="4" t="s">
        <v>400</v>
      </c>
      <c r="H192">
        <v>2027</v>
      </c>
      <c r="I192">
        <v>65.7</v>
      </c>
      <c r="K192" t="s">
        <v>77</v>
      </c>
    </row>
    <row r="193" spans="1:11" x14ac:dyDescent="0.25">
      <c r="A193" t="s">
        <v>604</v>
      </c>
      <c r="B193" s="2" t="s">
        <v>60</v>
      </c>
      <c r="C193" s="4" t="s">
        <v>136</v>
      </c>
      <c r="D193" t="s">
        <v>125</v>
      </c>
      <c r="E193" t="s">
        <v>115</v>
      </c>
      <c r="F193" s="4" t="s">
        <v>399</v>
      </c>
      <c r="G193" s="4" t="s">
        <v>400</v>
      </c>
      <c r="H193">
        <v>2027</v>
      </c>
      <c r="I193">
        <v>62.7</v>
      </c>
      <c r="K193" t="s">
        <v>77</v>
      </c>
    </row>
    <row r="194" spans="1:11" x14ac:dyDescent="0.25">
      <c r="A194" t="s">
        <v>605</v>
      </c>
      <c r="B194" s="2" t="s">
        <v>61</v>
      </c>
      <c r="C194" s="4" t="s">
        <v>136</v>
      </c>
      <c r="D194" t="s">
        <v>125</v>
      </c>
      <c r="E194" t="s">
        <v>116</v>
      </c>
      <c r="F194" s="4" t="s">
        <v>399</v>
      </c>
      <c r="G194" s="4" t="s">
        <v>400</v>
      </c>
      <c r="H194">
        <v>2027</v>
      </c>
      <c r="I194">
        <v>55</v>
      </c>
      <c r="K194" t="s">
        <v>77</v>
      </c>
    </row>
    <row r="195" spans="1:11" x14ac:dyDescent="0.25">
      <c r="A195" t="s">
        <v>606</v>
      </c>
      <c r="B195" s="2" t="s">
        <v>62</v>
      </c>
      <c r="C195" s="4" t="s">
        <v>136</v>
      </c>
      <c r="D195" t="s">
        <v>125</v>
      </c>
      <c r="E195" t="s">
        <v>117</v>
      </c>
      <c r="F195" s="4" t="s">
        <v>399</v>
      </c>
      <c r="G195" s="4" t="s">
        <v>400</v>
      </c>
      <c r="H195">
        <v>2027</v>
      </c>
      <c r="I195">
        <v>6.8</v>
      </c>
      <c r="K195" t="s">
        <v>77</v>
      </c>
    </row>
    <row r="196" spans="1:11" x14ac:dyDescent="0.25">
      <c r="A196" t="s">
        <v>607</v>
      </c>
      <c r="B196" s="2" t="s">
        <v>63</v>
      </c>
      <c r="C196" s="4" t="s">
        <v>136</v>
      </c>
      <c r="D196" t="s">
        <v>125</v>
      </c>
      <c r="E196" t="s">
        <v>118</v>
      </c>
      <c r="F196" s="4" t="s">
        <v>399</v>
      </c>
      <c r="G196" s="4" t="s">
        <v>400</v>
      </c>
      <c r="H196">
        <v>2027</v>
      </c>
      <c r="I196">
        <v>67</v>
      </c>
      <c r="K196" t="s">
        <v>77</v>
      </c>
    </row>
    <row r="197" spans="1:11" x14ac:dyDescent="0.25">
      <c r="A197" t="s">
        <v>608</v>
      </c>
      <c r="B197" s="2" t="s">
        <v>64</v>
      </c>
      <c r="C197" s="4" t="s">
        <v>136</v>
      </c>
      <c r="D197" t="s">
        <v>125</v>
      </c>
      <c r="E197" t="s">
        <v>78</v>
      </c>
      <c r="F197" s="4" t="s">
        <v>399</v>
      </c>
      <c r="G197" s="4" t="s">
        <v>400</v>
      </c>
      <c r="H197">
        <v>2027</v>
      </c>
      <c r="I197">
        <v>81</v>
      </c>
      <c r="K197" t="s">
        <v>77</v>
      </c>
    </row>
    <row r="198" spans="1:11" x14ac:dyDescent="0.25">
      <c r="A198" t="s">
        <v>609</v>
      </c>
      <c r="B198" s="2" t="s">
        <v>65</v>
      </c>
      <c r="C198" s="4" t="s">
        <v>136</v>
      </c>
      <c r="D198" t="s">
        <v>125</v>
      </c>
      <c r="E198" t="s">
        <v>119</v>
      </c>
      <c r="F198" s="4" t="s">
        <v>399</v>
      </c>
      <c r="G198" s="4" t="s">
        <v>400</v>
      </c>
      <c r="H198">
        <v>2027</v>
      </c>
      <c r="I198">
        <v>26.9</v>
      </c>
      <c r="K198" t="s">
        <v>77</v>
      </c>
    </row>
    <row r="199" spans="1:11" x14ac:dyDescent="0.25">
      <c r="A199" t="s">
        <v>610</v>
      </c>
      <c r="B199" s="2" t="s">
        <v>66</v>
      </c>
      <c r="C199" s="4" t="s">
        <v>136</v>
      </c>
      <c r="D199" t="s">
        <v>125</v>
      </c>
      <c r="E199" t="s">
        <v>78</v>
      </c>
      <c r="F199" s="4" t="s">
        <v>399</v>
      </c>
      <c r="G199" s="4" t="s">
        <v>400</v>
      </c>
      <c r="H199">
        <v>2027</v>
      </c>
      <c r="I199">
        <v>8.6</v>
      </c>
      <c r="K199" t="s">
        <v>77</v>
      </c>
    </row>
    <row r="200" spans="1:11" x14ac:dyDescent="0.25">
      <c r="A200" t="s">
        <v>611</v>
      </c>
      <c r="B200" s="2" t="s">
        <v>67</v>
      </c>
      <c r="C200" s="4" t="s">
        <v>136</v>
      </c>
      <c r="D200" t="s">
        <v>125</v>
      </c>
      <c r="E200" t="s">
        <v>120</v>
      </c>
      <c r="F200" s="4" t="s">
        <v>399</v>
      </c>
      <c r="G200" s="4" t="s">
        <v>400</v>
      </c>
      <c r="H200">
        <v>2027</v>
      </c>
      <c r="I200">
        <v>95</v>
      </c>
      <c r="K200" t="s">
        <v>77</v>
      </c>
    </row>
    <row r="201" spans="1:11" x14ac:dyDescent="0.25">
      <c r="A201" t="s">
        <v>612</v>
      </c>
      <c r="B201" s="2" t="s">
        <v>68</v>
      </c>
      <c r="C201" s="4" t="s">
        <v>136</v>
      </c>
      <c r="D201" t="s">
        <v>125</v>
      </c>
      <c r="E201" t="s">
        <v>120</v>
      </c>
      <c r="F201" s="4" t="s">
        <v>399</v>
      </c>
      <c r="G201" s="4" t="s">
        <v>400</v>
      </c>
      <c r="H201">
        <v>2027</v>
      </c>
      <c r="I201">
        <v>60.21</v>
      </c>
      <c r="K201" t="s">
        <v>77</v>
      </c>
    </row>
    <row r="202" spans="1:11" x14ac:dyDescent="0.25">
      <c r="A202" t="s">
        <v>613</v>
      </c>
      <c r="B202" s="2" t="s">
        <v>69</v>
      </c>
      <c r="C202" s="4" t="s">
        <v>136</v>
      </c>
      <c r="D202" t="s">
        <v>125</v>
      </c>
      <c r="E202" t="s">
        <v>121</v>
      </c>
      <c r="F202" s="4" t="s">
        <v>399</v>
      </c>
      <c r="G202" s="4" t="s">
        <v>400</v>
      </c>
      <c r="H202">
        <v>2027</v>
      </c>
      <c r="I202">
        <v>22</v>
      </c>
      <c r="K202" t="s">
        <v>77</v>
      </c>
    </row>
    <row r="203" spans="1:11" x14ac:dyDescent="0.25">
      <c r="A203" t="s">
        <v>614</v>
      </c>
      <c r="B203" s="2" t="s">
        <v>70</v>
      </c>
      <c r="C203" s="4" t="s">
        <v>136</v>
      </c>
      <c r="D203" t="s">
        <v>125</v>
      </c>
      <c r="E203" t="s">
        <v>122</v>
      </c>
      <c r="F203" s="4" t="s">
        <v>399</v>
      </c>
      <c r="G203" s="4" t="s">
        <v>400</v>
      </c>
      <c r="H203">
        <v>2027</v>
      </c>
      <c r="I203">
        <v>40</v>
      </c>
      <c r="K203" t="s">
        <v>77</v>
      </c>
    </row>
    <row r="204" spans="1:11" x14ac:dyDescent="0.25">
      <c r="A204" t="s">
        <v>615</v>
      </c>
      <c r="B204" s="2" t="s">
        <v>71</v>
      </c>
      <c r="C204" s="4" t="s">
        <v>136</v>
      </c>
      <c r="D204" t="s">
        <v>125</v>
      </c>
      <c r="E204" t="s">
        <v>123</v>
      </c>
      <c r="F204" s="4" t="s">
        <v>399</v>
      </c>
      <c r="G204" s="4" t="s">
        <v>400</v>
      </c>
      <c r="H204">
        <v>2027</v>
      </c>
      <c r="I204">
        <v>66.84</v>
      </c>
      <c r="K204" t="s">
        <v>77</v>
      </c>
    </row>
    <row r="205" spans="1:11" x14ac:dyDescent="0.25">
      <c r="A205" t="s">
        <v>616</v>
      </c>
      <c r="B205" s="2" t="s">
        <v>72</v>
      </c>
      <c r="C205" s="4" t="s">
        <v>136</v>
      </c>
      <c r="D205" t="s">
        <v>125</v>
      </c>
      <c r="E205" t="s">
        <v>124</v>
      </c>
      <c r="F205" s="4" t="s">
        <v>399</v>
      </c>
      <c r="G205" s="4" t="s">
        <v>400</v>
      </c>
      <c r="H205">
        <v>2027</v>
      </c>
      <c r="I205">
        <v>65</v>
      </c>
      <c r="K205" t="s">
        <v>77</v>
      </c>
    </row>
    <row r="206" spans="1:11" x14ac:dyDescent="0.25">
      <c r="A206" t="s">
        <v>617</v>
      </c>
      <c r="B206" s="2" t="s">
        <v>2</v>
      </c>
      <c r="C206" s="4" t="s">
        <v>136</v>
      </c>
      <c r="D206" t="s">
        <v>125</v>
      </c>
      <c r="E206" t="s">
        <v>78</v>
      </c>
      <c r="F206" s="4" t="s">
        <v>399</v>
      </c>
      <c r="G206" s="4" t="s">
        <v>400</v>
      </c>
      <c r="H206">
        <v>2028</v>
      </c>
      <c r="I206">
        <v>35.909999999999997</v>
      </c>
      <c r="K206" t="s">
        <v>77</v>
      </c>
    </row>
    <row r="207" spans="1:11" x14ac:dyDescent="0.25">
      <c r="A207" t="s">
        <v>618</v>
      </c>
      <c r="B207" s="2" t="s">
        <v>3</v>
      </c>
      <c r="C207" s="4" t="s">
        <v>136</v>
      </c>
      <c r="D207" t="s">
        <v>125</v>
      </c>
      <c r="E207" t="s">
        <v>78</v>
      </c>
      <c r="F207" s="4" t="s">
        <v>399</v>
      </c>
      <c r="G207" s="4" t="s">
        <v>400</v>
      </c>
      <c r="H207">
        <v>2028</v>
      </c>
      <c r="I207">
        <v>63.23</v>
      </c>
      <c r="K207" t="s">
        <v>77</v>
      </c>
    </row>
    <row r="208" spans="1:11" x14ac:dyDescent="0.25">
      <c r="A208" t="s">
        <v>619</v>
      </c>
      <c r="B208" s="2" t="s">
        <v>4</v>
      </c>
      <c r="C208" s="4" t="s">
        <v>136</v>
      </c>
      <c r="D208" t="s">
        <v>126</v>
      </c>
      <c r="E208" t="s">
        <v>79</v>
      </c>
      <c r="F208" s="4" t="s">
        <v>399</v>
      </c>
      <c r="G208" s="4" t="s">
        <v>400</v>
      </c>
      <c r="H208">
        <v>2028</v>
      </c>
      <c r="I208">
        <v>66.81</v>
      </c>
      <c r="K208" t="s">
        <v>77</v>
      </c>
    </row>
    <row r="209" spans="1:11" x14ac:dyDescent="0.25">
      <c r="A209" t="s">
        <v>620</v>
      </c>
      <c r="B209" s="2" t="s">
        <v>5</v>
      </c>
      <c r="C209" s="4" t="s">
        <v>136</v>
      </c>
      <c r="D209" t="s">
        <v>125</v>
      </c>
      <c r="E209" t="s">
        <v>78</v>
      </c>
      <c r="F209" s="4" t="s">
        <v>399</v>
      </c>
      <c r="G209" s="4" t="s">
        <v>400</v>
      </c>
      <c r="H209">
        <v>2028</v>
      </c>
      <c r="I209">
        <v>87.71</v>
      </c>
      <c r="K209" t="s">
        <v>77</v>
      </c>
    </row>
    <row r="210" spans="1:11" x14ac:dyDescent="0.25">
      <c r="A210" t="s">
        <v>621</v>
      </c>
      <c r="B210" s="2" t="s">
        <v>6</v>
      </c>
      <c r="C210" s="4" t="s">
        <v>136</v>
      </c>
      <c r="D210" t="s">
        <v>125</v>
      </c>
      <c r="E210" t="s">
        <v>80</v>
      </c>
      <c r="F210" s="4" t="s">
        <v>399</v>
      </c>
      <c r="G210" s="4" t="s">
        <v>400</v>
      </c>
      <c r="H210">
        <v>2028</v>
      </c>
      <c r="I210">
        <v>5.3</v>
      </c>
      <c r="K210" t="s">
        <v>77</v>
      </c>
    </row>
    <row r="211" spans="1:11" x14ac:dyDescent="0.25">
      <c r="A211" t="s">
        <v>622</v>
      </c>
      <c r="B211" s="2" t="s">
        <v>7</v>
      </c>
      <c r="C211" s="4" t="s">
        <v>136</v>
      </c>
      <c r="D211" t="s">
        <v>125</v>
      </c>
      <c r="E211" t="s">
        <v>81</v>
      </c>
      <c r="F211" s="4" t="s">
        <v>399</v>
      </c>
      <c r="G211" s="4" t="s">
        <v>400</v>
      </c>
      <c r="H211">
        <v>2028</v>
      </c>
      <c r="I211">
        <v>58.7</v>
      </c>
      <c r="K211" t="s">
        <v>77</v>
      </c>
    </row>
    <row r="212" spans="1:11" x14ac:dyDescent="0.25">
      <c r="A212" t="s">
        <v>623</v>
      </c>
      <c r="B212" s="2" t="s">
        <v>8</v>
      </c>
      <c r="C212" s="4" t="s">
        <v>136</v>
      </c>
      <c r="D212" t="s">
        <v>125</v>
      </c>
      <c r="E212" t="s">
        <v>82</v>
      </c>
      <c r="F212" s="4" t="s">
        <v>399</v>
      </c>
      <c r="G212" s="4" t="s">
        <v>400</v>
      </c>
      <c r="H212">
        <v>2028</v>
      </c>
      <c r="I212">
        <v>15.95</v>
      </c>
      <c r="K212" t="s">
        <v>77</v>
      </c>
    </row>
    <row r="213" spans="1:11" x14ac:dyDescent="0.25">
      <c r="A213" t="s">
        <v>624</v>
      </c>
      <c r="B213" s="2" t="s">
        <v>9</v>
      </c>
      <c r="C213" s="4" t="s">
        <v>136</v>
      </c>
      <c r="D213" t="s">
        <v>125</v>
      </c>
      <c r="E213" t="s">
        <v>82</v>
      </c>
      <c r="F213" s="4" t="s">
        <v>399</v>
      </c>
      <c r="G213" s="4" t="s">
        <v>400</v>
      </c>
      <c r="H213">
        <v>2028</v>
      </c>
      <c r="I213">
        <v>25.66</v>
      </c>
      <c r="K213" t="s">
        <v>77</v>
      </c>
    </row>
    <row r="214" spans="1:11" x14ac:dyDescent="0.25">
      <c r="A214" t="s">
        <v>625</v>
      </c>
      <c r="B214" s="2" t="s">
        <v>10</v>
      </c>
      <c r="C214" s="4" t="s">
        <v>136</v>
      </c>
      <c r="D214" t="s">
        <v>125</v>
      </c>
      <c r="E214" t="s">
        <v>78</v>
      </c>
      <c r="F214" s="4" t="s">
        <v>399</v>
      </c>
      <c r="G214" s="4" t="s">
        <v>400</v>
      </c>
      <c r="H214">
        <v>2028</v>
      </c>
      <c r="I214">
        <v>20.74</v>
      </c>
      <c r="K214" t="s">
        <v>77</v>
      </c>
    </row>
    <row r="215" spans="1:11" x14ac:dyDescent="0.25">
      <c r="A215" t="s">
        <v>626</v>
      </c>
      <c r="B215" s="2" t="s">
        <v>11</v>
      </c>
      <c r="C215" s="4" t="s">
        <v>136</v>
      </c>
      <c r="D215" t="s">
        <v>125</v>
      </c>
      <c r="E215" t="s">
        <v>78</v>
      </c>
      <c r="F215" s="4" t="s">
        <v>399</v>
      </c>
      <c r="G215" s="4" t="s">
        <v>400</v>
      </c>
      <c r="H215">
        <v>2028</v>
      </c>
      <c r="I215">
        <v>87.23</v>
      </c>
      <c r="K215" t="s">
        <v>77</v>
      </c>
    </row>
    <row r="216" spans="1:11" x14ac:dyDescent="0.25">
      <c r="A216" t="s">
        <v>627</v>
      </c>
      <c r="B216" s="2" t="s">
        <v>12</v>
      </c>
      <c r="C216" s="4" t="s">
        <v>136</v>
      </c>
      <c r="D216" s="4" t="s">
        <v>125</v>
      </c>
      <c r="E216" t="s">
        <v>83</v>
      </c>
      <c r="F216" s="4" t="s">
        <v>399</v>
      </c>
      <c r="G216" s="4" t="s">
        <v>400</v>
      </c>
      <c r="H216">
        <v>2028</v>
      </c>
      <c r="I216">
        <v>80</v>
      </c>
      <c r="K216" t="s">
        <v>77</v>
      </c>
    </row>
    <row r="217" spans="1:11" x14ac:dyDescent="0.25">
      <c r="A217" t="s">
        <v>628</v>
      </c>
      <c r="B217" s="2" t="s">
        <v>13</v>
      </c>
      <c r="C217" s="4" t="s">
        <v>136</v>
      </c>
      <c r="D217" t="s">
        <v>127</v>
      </c>
      <c r="E217" t="s">
        <v>84</v>
      </c>
      <c r="F217" s="4" t="s">
        <v>399</v>
      </c>
      <c r="G217" s="4" t="s">
        <v>400</v>
      </c>
      <c r="H217">
        <v>2028</v>
      </c>
      <c r="I217">
        <v>15</v>
      </c>
      <c r="K217" t="s">
        <v>77</v>
      </c>
    </row>
    <row r="218" spans="1:11" x14ac:dyDescent="0.25">
      <c r="A218" t="s">
        <v>629</v>
      </c>
      <c r="B218" s="2" t="s">
        <v>14</v>
      </c>
      <c r="C218" s="4" t="s">
        <v>136</v>
      </c>
      <c r="D218" t="s">
        <v>125</v>
      </c>
      <c r="E218" t="s">
        <v>84</v>
      </c>
      <c r="F218" s="4" t="s">
        <v>399</v>
      </c>
      <c r="G218" s="4" t="s">
        <v>400</v>
      </c>
      <c r="H218">
        <v>2028</v>
      </c>
      <c r="I218">
        <v>73</v>
      </c>
      <c r="K218" t="s">
        <v>77</v>
      </c>
    </row>
    <row r="219" spans="1:11" x14ac:dyDescent="0.25">
      <c r="A219" t="s">
        <v>630</v>
      </c>
      <c r="B219" s="2" t="s">
        <v>15</v>
      </c>
      <c r="C219" s="4" t="s">
        <v>136</v>
      </c>
      <c r="D219" t="s">
        <v>125</v>
      </c>
      <c r="E219" t="s">
        <v>78</v>
      </c>
      <c r="F219" s="4" t="s">
        <v>399</v>
      </c>
      <c r="G219" s="4" t="s">
        <v>400</v>
      </c>
      <c r="H219">
        <v>2028</v>
      </c>
      <c r="I219">
        <v>48.7</v>
      </c>
      <c r="K219" t="s">
        <v>77</v>
      </c>
    </row>
    <row r="220" spans="1:11" x14ac:dyDescent="0.25">
      <c r="A220" t="s">
        <v>631</v>
      </c>
      <c r="B220" s="2" t="s">
        <v>16</v>
      </c>
      <c r="C220" s="4" t="s">
        <v>136</v>
      </c>
      <c r="D220" t="s">
        <v>128</v>
      </c>
      <c r="E220" t="s">
        <v>85</v>
      </c>
      <c r="F220" s="4" t="s">
        <v>399</v>
      </c>
      <c r="G220" s="4" t="s">
        <v>400</v>
      </c>
      <c r="H220">
        <v>2028</v>
      </c>
      <c r="I220">
        <v>6</v>
      </c>
      <c r="K220" t="s">
        <v>77</v>
      </c>
    </row>
    <row r="221" spans="1:11" x14ac:dyDescent="0.25">
      <c r="A221" t="s">
        <v>632</v>
      </c>
      <c r="B221" s="2" t="s">
        <v>17</v>
      </c>
      <c r="C221" s="4" t="s">
        <v>136</v>
      </c>
      <c r="D221" t="s">
        <v>125</v>
      </c>
      <c r="E221" t="s">
        <v>86</v>
      </c>
      <c r="F221" s="4" t="s">
        <v>399</v>
      </c>
      <c r="G221" s="4" t="s">
        <v>400</v>
      </c>
      <c r="H221">
        <v>2028</v>
      </c>
      <c r="I221">
        <v>90</v>
      </c>
      <c r="K221" t="s">
        <v>77</v>
      </c>
    </row>
    <row r="222" spans="1:11" x14ac:dyDescent="0.25">
      <c r="A222" t="s">
        <v>633</v>
      </c>
      <c r="B222" s="3" t="s">
        <v>18</v>
      </c>
      <c r="C222" s="4" t="s">
        <v>136</v>
      </c>
      <c r="D222" t="s">
        <v>125</v>
      </c>
      <c r="E222" t="s">
        <v>87</v>
      </c>
      <c r="F222" s="4" t="s">
        <v>399</v>
      </c>
      <c r="G222" s="4" t="s">
        <v>400</v>
      </c>
      <c r="H222">
        <v>2028</v>
      </c>
      <c r="I222">
        <v>96</v>
      </c>
      <c r="K222" t="s">
        <v>77</v>
      </c>
    </row>
    <row r="223" spans="1:11" x14ac:dyDescent="0.25">
      <c r="A223" t="s">
        <v>634</v>
      </c>
      <c r="B223" s="2" t="s">
        <v>19</v>
      </c>
      <c r="C223" s="4" t="s">
        <v>136</v>
      </c>
      <c r="D223" t="s">
        <v>125</v>
      </c>
      <c r="E223" t="s">
        <v>84</v>
      </c>
      <c r="F223" s="4" t="s">
        <v>399</v>
      </c>
      <c r="G223" s="4" t="s">
        <v>400</v>
      </c>
      <c r="H223">
        <v>2028</v>
      </c>
      <c r="I223">
        <v>100</v>
      </c>
      <c r="K223" t="s">
        <v>77</v>
      </c>
    </row>
    <row r="224" spans="1:11" x14ac:dyDescent="0.25">
      <c r="A224" t="s">
        <v>635</v>
      </c>
      <c r="B224" s="2" t="s">
        <v>20</v>
      </c>
      <c r="C224" s="4" t="s">
        <v>136</v>
      </c>
      <c r="D224" t="s">
        <v>125</v>
      </c>
      <c r="E224" t="s">
        <v>84</v>
      </c>
      <c r="F224" s="4" t="s">
        <v>399</v>
      </c>
      <c r="G224" s="4" t="s">
        <v>400</v>
      </c>
      <c r="H224">
        <v>2028</v>
      </c>
      <c r="I224">
        <v>50</v>
      </c>
      <c r="K224" t="s">
        <v>77</v>
      </c>
    </row>
    <row r="225" spans="1:11" x14ac:dyDescent="0.25">
      <c r="A225" t="s">
        <v>636</v>
      </c>
      <c r="B225" s="2" t="s">
        <v>21</v>
      </c>
      <c r="C225" s="4" t="s">
        <v>136</v>
      </c>
      <c r="D225" t="s">
        <v>125</v>
      </c>
      <c r="E225" t="s">
        <v>88</v>
      </c>
      <c r="F225" s="4" t="s">
        <v>399</v>
      </c>
      <c r="G225" s="4" t="s">
        <v>400</v>
      </c>
      <c r="H225">
        <v>2028</v>
      </c>
      <c r="I225">
        <v>95</v>
      </c>
      <c r="K225" t="s">
        <v>77</v>
      </c>
    </row>
    <row r="226" spans="1:11" x14ac:dyDescent="0.25">
      <c r="A226" t="s">
        <v>637</v>
      </c>
      <c r="B226" s="3" t="s">
        <v>22</v>
      </c>
      <c r="C226" s="4" t="s">
        <v>136</v>
      </c>
      <c r="D226" t="s">
        <v>129</v>
      </c>
      <c r="E226" t="s">
        <v>89</v>
      </c>
      <c r="F226" s="4" t="s">
        <v>399</v>
      </c>
      <c r="G226" s="4" t="s">
        <v>400</v>
      </c>
      <c r="H226">
        <v>2028</v>
      </c>
      <c r="I226">
        <v>105</v>
      </c>
      <c r="K226" t="s">
        <v>77</v>
      </c>
    </row>
    <row r="227" spans="1:11" x14ac:dyDescent="0.25">
      <c r="A227" t="s">
        <v>638</v>
      </c>
      <c r="B227" s="2" t="s">
        <v>23</v>
      </c>
      <c r="C227" s="4" t="s">
        <v>136</v>
      </c>
      <c r="D227" t="s">
        <v>125</v>
      </c>
      <c r="E227" t="s">
        <v>90</v>
      </c>
      <c r="F227" s="4" t="s">
        <v>399</v>
      </c>
      <c r="G227" s="4" t="s">
        <v>400</v>
      </c>
      <c r="H227">
        <v>2028</v>
      </c>
      <c r="I227">
        <v>6</v>
      </c>
      <c r="K227" t="s">
        <v>77</v>
      </c>
    </row>
    <row r="228" spans="1:11" x14ac:dyDescent="0.25">
      <c r="A228" t="s">
        <v>639</v>
      </c>
      <c r="B228" s="2" t="s">
        <v>24</v>
      </c>
      <c r="C228" s="4" t="s">
        <v>136</v>
      </c>
      <c r="D228" t="s">
        <v>130</v>
      </c>
      <c r="E228" t="s">
        <v>78</v>
      </c>
      <c r="F228" s="4" t="s">
        <v>399</v>
      </c>
      <c r="G228" s="4" t="s">
        <v>400</v>
      </c>
      <c r="H228">
        <v>2028</v>
      </c>
      <c r="I228">
        <v>0.28799999999999998</v>
      </c>
      <c r="K228" t="s">
        <v>77</v>
      </c>
    </row>
    <row r="229" spans="1:11" x14ac:dyDescent="0.25">
      <c r="A229" t="s">
        <v>640</v>
      </c>
      <c r="B229" s="2" t="s">
        <v>25</v>
      </c>
      <c r="C229" s="4" t="s">
        <v>136</v>
      </c>
      <c r="D229" t="s">
        <v>125</v>
      </c>
      <c r="E229" t="s">
        <v>91</v>
      </c>
      <c r="F229" s="4" t="s">
        <v>399</v>
      </c>
      <c r="G229" s="4" t="s">
        <v>400</v>
      </c>
      <c r="H229">
        <v>2028</v>
      </c>
      <c r="I229">
        <v>95</v>
      </c>
      <c r="K229" t="s">
        <v>77</v>
      </c>
    </row>
    <row r="230" spans="1:11" x14ac:dyDescent="0.25">
      <c r="A230" t="s">
        <v>641</v>
      </c>
      <c r="B230" s="2" t="s">
        <v>26</v>
      </c>
      <c r="C230" s="4" t="s">
        <v>136</v>
      </c>
      <c r="D230" t="s">
        <v>125</v>
      </c>
      <c r="E230" t="s">
        <v>92</v>
      </c>
      <c r="F230" s="4" t="s">
        <v>399</v>
      </c>
      <c r="G230" s="4" t="s">
        <v>400</v>
      </c>
      <c r="H230">
        <v>2028</v>
      </c>
      <c r="I230">
        <v>90</v>
      </c>
      <c r="K230" t="s">
        <v>77</v>
      </c>
    </row>
    <row r="231" spans="1:11" x14ac:dyDescent="0.25">
      <c r="A231" t="s">
        <v>642</v>
      </c>
      <c r="B231" s="3" t="s">
        <v>27</v>
      </c>
      <c r="C231" s="4" t="s">
        <v>136</v>
      </c>
      <c r="D231" t="s">
        <v>125</v>
      </c>
      <c r="E231" t="s">
        <v>93</v>
      </c>
      <c r="F231" s="4" t="s">
        <v>399</v>
      </c>
      <c r="G231" s="4" t="s">
        <v>400</v>
      </c>
      <c r="H231">
        <v>2028</v>
      </c>
      <c r="I231">
        <v>9.6</v>
      </c>
      <c r="K231" t="s">
        <v>77</v>
      </c>
    </row>
    <row r="232" spans="1:11" x14ac:dyDescent="0.25">
      <c r="A232" t="s">
        <v>643</v>
      </c>
      <c r="B232" s="2" t="s">
        <v>29</v>
      </c>
      <c r="C232" s="4" t="s">
        <v>136</v>
      </c>
      <c r="D232" t="s">
        <v>125</v>
      </c>
      <c r="E232" t="s">
        <v>95</v>
      </c>
      <c r="F232" s="4" t="s">
        <v>399</v>
      </c>
      <c r="G232" s="4" t="s">
        <v>400</v>
      </c>
      <c r="H232">
        <v>2028</v>
      </c>
      <c r="I232">
        <v>7.4</v>
      </c>
      <c r="K232" t="s">
        <v>77</v>
      </c>
    </row>
    <row r="233" spans="1:11" x14ac:dyDescent="0.25">
      <c r="A233" t="s">
        <v>644</v>
      </c>
      <c r="B233" s="2" t="s">
        <v>30</v>
      </c>
      <c r="C233" s="4" t="s">
        <v>136</v>
      </c>
      <c r="D233" t="s">
        <v>125</v>
      </c>
      <c r="E233" t="s">
        <v>90</v>
      </c>
      <c r="F233" s="4" t="s">
        <v>399</v>
      </c>
      <c r="G233" s="4" t="s">
        <v>400</v>
      </c>
      <c r="H233">
        <v>2028</v>
      </c>
      <c r="I233">
        <v>30.37</v>
      </c>
      <c r="K233" t="s">
        <v>77</v>
      </c>
    </row>
    <row r="234" spans="1:11" x14ac:dyDescent="0.25">
      <c r="A234" t="s">
        <v>645</v>
      </c>
      <c r="B234" s="2" t="s">
        <v>31</v>
      </c>
      <c r="C234" s="4" t="s">
        <v>136</v>
      </c>
      <c r="D234" t="s">
        <v>125</v>
      </c>
      <c r="E234" t="s">
        <v>96</v>
      </c>
      <c r="F234" s="4" t="s">
        <v>399</v>
      </c>
      <c r="G234" s="4" t="s">
        <v>400</v>
      </c>
      <c r="H234">
        <v>2028</v>
      </c>
      <c r="I234">
        <v>53</v>
      </c>
      <c r="K234" t="s">
        <v>77</v>
      </c>
    </row>
    <row r="235" spans="1:11" x14ac:dyDescent="0.25">
      <c r="A235" t="s">
        <v>646</v>
      </c>
      <c r="B235" s="3" t="s">
        <v>32</v>
      </c>
      <c r="C235" s="4" t="s">
        <v>136</v>
      </c>
      <c r="D235" t="s">
        <v>125</v>
      </c>
      <c r="E235" t="s">
        <v>96</v>
      </c>
      <c r="F235" s="4" t="s">
        <v>399</v>
      </c>
      <c r="G235" s="4" t="s">
        <v>400</v>
      </c>
      <c r="H235">
        <v>2028</v>
      </c>
      <c r="I235">
        <v>14</v>
      </c>
      <c r="K235" t="s">
        <v>77</v>
      </c>
    </row>
    <row r="236" spans="1:11" x14ac:dyDescent="0.25">
      <c r="A236" t="s">
        <v>647</v>
      </c>
      <c r="B236" s="3" t="s">
        <v>33</v>
      </c>
      <c r="C236" s="4" t="s">
        <v>136</v>
      </c>
      <c r="D236" t="s">
        <v>125</v>
      </c>
      <c r="E236" t="s">
        <v>96</v>
      </c>
      <c r="F236" s="4" t="s">
        <v>399</v>
      </c>
      <c r="G236" s="4" t="s">
        <v>400</v>
      </c>
      <c r="H236">
        <v>2028</v>
      </c>
      <c r="I236">
        <v>5</v>
      </c>
      <c r="K236" t="s">
        <v>77</v>
      </c>
    </row>
    <row r="237" spans="1:11" x14ac:dyDescent="0.25">
      <c r="A237" t="s">
        <v>648</v>
      </c>
      <c r="B237" s="2" t="s">
        <v>34</v>
      </c>
      <c r="C237" s="4" t="s">
        <v>136</v>
      </c>
      <c r="D237" t="s">
        <v>125</v>
      </c>
      <c r="E237" t="s">
        <v>90</v>
      </c>
      <c r="F237" s="4" t="s">
        <v>399</v>
      </c>
      <c r="G237" s="4" t="s">
        <v>400</v>
      </c>
      <c r="H237">
        <v>2028</v>
      </c>
      <c r="I237">
        <v>6.7</v>
      </c>
      <c r="K237" t="s">
        <v>77</v>
      </c>
    </row>
    <row r="238" spans="1:11" x14ac:dyDescent="0.25">
      <c r="A238" t="s">
        <v>649</v>
      </c>
      <c r="B238" s="2" t="s">
        <v>35</v>
      </c>
      <c r="C238" s="4" t="s">
        <v>136</v>
      </c>
      <c r="D238" t="s">
        <v>125</v>
      </c>
      <c r="E238" t="s">
        <v>97</v>
      </c>
      <c r="F238" s="4" t="s">
        <v>399</v>
      </c>
      <c r="G238" s="4" t="s">
        <v>400</v>
      </c>
      <c r="H238">
        <v>2028</v>
      </c>
      <c r="I238">
        <v>43.6</v>
      </c>
      <c r="K238" t="s">
        <v>77</v>
      </c>
    </row>
    <row r="239" spans="1:11" x14ac:dyDescent="0.25">
      <c r="A239" t="s">
        <v>650</v>
      </c>
      <c r="B239" s="2" t="s">
        <v>36</v>
      </c>
      <c r="C239" s="4" t="s">
        <v>136</v>
      </c>
      <c r="D239" t="s">
        <v>125</v>
      </c>
      <c r="E239" t="s">
        <v>98</v>
      </c>
      <c r="F239" s="4" t="s">
        <v>399</v>
      </c>
      <c r="G239" s="4" t="s">
        <v>400</v>
      </c>
      <c r="H239">
        <v>2028</v>
      </c>
      <c r="I239">
        <v>20.5</v>
      </c>
      <c r="K239" t="s">
        <v>77</v>
      </c>
    </row>
    <row r="240" spans="1:11" x14ac:dyDescent="0.25">
      <c r="A240" t="s">
        <v>651</v>
      </c>
      <c r="B240" s="2" t="s">
        <v>37</v>
      </c>
      <c r="C240" s="4" t="s">
        <v>136</v>
      </c>
      <c r="D240" t="s">
        <v>125</v>
      </c>
      <c r="E240" t="s">
        <v>99</v>
      </c>
      <c r="F240" s="4" t="s">
        <v>399</v>
      </c>
      <c r="G240" s="4" t="s">
        <v>400</v>
      </c>
      <c r="H240">
        <v>2028</v>
      </c>
      <c r="I240">
        <v>42</v>
      </c>
      <c r="K240" t="s">
        <v>77</v>
      </c>
    </row>
    <row r="241" spans="1:11" x14ac:dyDescent="0.25">
      <c r="A241" t="s">
        <v>652</v>
      </c>
      <c r="B241" s="2" t="s">
        <v>38</v>
      </c>
      <c r="C241" s="4" t="s">
        <v>136</v>
      </c>
      <c r="D241" t="s">
        <v>125</v>
      </c>
      <c r="E241" t="s">
        <v>99</v>
      </c>
      <c r="F241" s="4" t="s">
        <v>399</v>
      </c>
      <c r="G241" s="4" t="s">
        <v>400</v>
      </c>
      <c r="H241">
        <v>2028</v>
      </c>
      <c r="I241">
        <v>63</v>
      </c>
      <c r="K241" t="s">
        <v>77</v>
      </c>
    </row>
    <row r="242" spans="1:11" x14ac:dyDescent="0.25">
      <c r="A242" t="s">
        <v>653</v>
      </c>
      <c r="B242" s="2" t="s">
        <v>39</v>
      </c>
      <c r="C242" s="4" t="s">
        <v>136</v>
      </c>
      <c r="D242" t="s">
        <v>125</v>
      </c>
      <c r="E242" t="s">
        <v>100</v>
      </c>
      <c r="F242" s="4" t="s">
        <v>399</v>
      </c>
      <c r="G242" s="4" t="s">
        <v>400</v>
      </c>
      <c r="H242">
        <v>2028</v>
      </c>
      <c r="I242">
        <v>4.2</v>
      </c>
      <c r="K242" t="s">
        <v>77</v>
      </c>
    </row>
    <row r="243" spans="1:11" x14ac:dyDescent="0.25">
      <c r="A243" t="s">
        <v>654</v>
      </c>
      <c r="B243" s="2" t="s">
        <v>40</v>
      </c>
      <c r="C243" s="4" t="s">
        <v>136</v>
      </c>
      <c r="D243" t="s">
        <v>125</v>
      </c>
      <c r="E243" t="s">
        <v>100</v>
      </c>
      <c r="F243" s="4" t="s">
        <v>399</v>
      </c>
      <c r="G243" s="4" t="s">
        <v>400</v>
      </c>
      <c r="H243">
        <v>2028</v>
      </c>
      <c r="I243">
        <v>6.9</v>
      </c>
      <c r="K243" t="s">
        <v>77</v>
      </c>
    </row>
    <row r="244" spans="1:11" x14ac:dyDescent="0.25">
      <c r="A244" t="s">
        <v>655</v>
      </c>
      <c r="B244" s="2" t="s">
        <v>41</v>
      </c>
      <c r="C244" s="4" t="s">
        <v>136</v>
      </c>
      <c r="D244" t="s">
        <v>125</v>
      </c>
      <c r="E244" t="s">
        <v>101</v>
      </c>
      <c r="F244" s="4" t="s">
        <v>399</v>
      </c>
      <c r="G244" s="4" t="s">
        <v>400</v>
      </c>
      <c r="H244">
        <v>2028</v>
      </c>
      <c r="I244">
        <v>48.28</v>
      </c>
      <c r="K244" t="s">
        <v>77</v>
      </c>
    </row>
    <row r="245" spans="1:11" x14ac:dyDescent="0.25">
      <c r="A245" t="s">
        <v>656</v>
      </c>
      <c r="B245" s="2" t="s">
        <v>42</v>
      </c>
      <c r="C245" s="4" t="s">
        <v>136</v>
      </c>
      <c r="D245" t="s">
        <v>131</v>
      </c>
      <c r="E245" t="s">
        <v>102</v>
      </c>
      <c r="F245" s="4" t="s">
        <v>399</v>
      </c>
      <c r="G245" s="4" t="s">
        <v>400</v>
      </c>
      <c r="H245">
        <v>2028</v>
      </c>
      <c r="I245">
        <v>13.26</v>
      </c>
      <c r="K245" t="s">
        <v>77</v>
      </c>
    </row>
    <row r="246" spans="1:11" x14ac:dyDescent="0.25">
      <c r="A246" t="s">
        <v>657</v>
      </c>
      <c r="B246" s="2" t="s">
        <v>43</v>
      </c>
      <c r="C246" s="4" t="s">
        <v>136</v>
      </c>
      <c r="D246" t="s">
        <v>127</v>
      </c>
      <c r="E246" t="s">
        <v>103</v>
      </c>
      <c r="F246" s="4" t="s">
        <v>399</v>
      </c>
      <c r="G246" s="4" t="s">
        <v>400</v>
      </c>
      <c r="H246">
        <v>2028</v>
      </c>
      <c r="I246">
        <v>22</v>
      </c>
      <c r="K246" t="s">
        <v>77</v>
      </c>
    </row>
    <row r="247" spans="1:11" x14ac:dyDescent="0.25">
      <c r="A247" t="s">
        <v>658</v>
      </c>
      <c r="B247" s="2" t="s">
        <v>44</v>
      </c>
      <c r="C247" s="4" t="s">
        <v>136</v>
      </c>
      <c r="D247" t="s">
        <v>125</v>
      </c>
      <c r="E247" s="4" t="s">
        <v>104</v>
      </c>
      <c r="F247" s="4" t="s">
        <v>399</v>
      </c>
      <c r="G247" s="4" t="s">
        <v>400</v>
      </c>
      <c r="H247">
        <v>2028</v>
      </c>
      <c r="I247">
        <v>100</v>
      </c>
      <c r="K247" t="s">
        <v>77</v>
      </c>
    </row>
    <row r="248" spans="1:11" x14ac:dyDescent="0.25">
      <c r="A248" t="s">
        <v>659</v>
      </c>
      <c r="B248" s="2" t="s">
        <v>45</v>
      </c>
      <c r="C248" s="4" t="s">
        <v>136</v>
      </c>
      <c r="D248" t="s">
        <v>125</v>
      </c>
      <c r="E248" s="4" t="s">
        <v>104</v>
      </c>
      <c r="F248" s="4" t="s">
        <v>399</v>
      </c>
      <c r="G248" s="4" t="s">
        <v>400</v>
      </c>
      <c r="H248">
        <v>2028</v>
      </c>
      <c r="I248">
        <v>75</v>
      </c>
      <c r="K248" t="s">
        <v>77</v>
      </c>
    </row>
    <row r="249" spans="1:11" x14ac:dyDescent="0.25">
      <c r="A249" t="s">
        <v>660</v>
      </c>
      <c r="B249" s="2" t="s">
        <v>46</v>
      </c>
      <c r="C249" s="4" t="s">
        <v>136</v>
      </c>
      <c r="D249" t="s">
        <v>125</v>
      </c>
      <c r="E249" t="s">
        <v>78</v>
      </c>
      <c r="F249" s="4" t="s">
        <v>399</v>
      </c>
      <c r="G249" s="4" t="s">
        <v>400</v>
      </c>
      <c r="H249">
        <v>2028</v>
      </c>
      <c r="I249">
        <v>41.39</v>
      </c>
      <c r="K249" t="s">
        <v>77</v>
      </c>
    </row>
    <row r="250" spans="1:11" x14ac:dyDescent="0.25">
      <c r="A250" t="s">
        <v>661</v>
      </c>
      <c r="B250" s="2" t="s">
        <v>47</v>
      </c>
      <c r="C250" s="4" t="s">
        <v>136</v>
      </c>
      <c r="D250" t="s">
        <v>132</v>
      </c>
      <c r="E250" t="s">
        <v>105</v>
      </c>
      <c r="F250" s="4" t="s">
        <v>399</v>
      </c>
      <c r="G250" s="4" t="s">
        <v>400</v>
      </c>
      <c r="H250">
        <v>2028</v>
      </c>
      <c r="I250">
        <v>56</v>
      </c>
      <c r="K250" t="s">
        <v>77</v>
      </c>
    </row>
    <row r="251" spans="1:11" x14ac:dyDescent="0.25">
      <c r="A251" t="s">
        <v>662</v>
      </c>
      <c r="B251" s="2" t="s">
        <v>48</v>
      </c>
      <c r="C251" s="4" t="s">
        <v>136</v>
      </c>
      <c r="D251" t="s">
        <v>133</v>
      </c>
      <c r="E251" t="s">
        <v>106</v>
      </c>
      <c r="F251" s="4" t="s">
        <v>399</v>
      </c>
      <c r="G251" s="4" t="s">
        <v>400</v>
      </c>
      <c r="H251">
        <v>2028</v>
      </c>
      <c r="I251">
        <v>240.8</v>
      </c>
      <c r="K251" t="s">
        <v>77</v>
      </c>
    </row>
    <row r="252" spans="1:11" x14ac:dyDescent="0.25">
      <c r="A252" t="s">
        <v>663</v>
      </c>
      <c r="B252" s="2" t="s">
        <v>49</v>
      </c>
      <c r="C252" s="4" t="s">
        <v>136</v>
      </c>
      <c r="D252" t="s">
        <v>125</v>
      </c>
      <c r="E252" t="s">
        <v>107</v>
      </c>
      <c r="F252" s="4" t="s">
        <v>399</v>
      </c>
      <c r="G252" s="4" t="s">
        <v>400</v>
      </c>
      <c r="H252">
        <v>2028</v>
      </c>
      <c r="I252">
        <v>50.3</v>
      </c>
      <c r="K252" t="s">
        <v>77</v>
      </c>
    </row>
    <row r="253" spans="1:11" x14ac:dyDescent="0.25">
      <c r="A253" t="s">
        <v>664</v>
      </c>
      <c r="B253" s="2" t="s">
        <v>50</v>
      </c>
      <c r="C253" s="4" t="s">
        <v>136</v>
      </c>
      <c r="D253" t="s">
        <v>125</v>
      </c>
      <c r="E253" t="s">
        <v>107</v>
      </c>
      <c r="F253" s="4" t="s">
        <v>399</v>
      </c>
      <c r="G253" s="4" t="s">
        <v>400</v>
      </c>
      <c r="H253">
        <v>2028</v>
      </c>
      <c r="I253">
        <v>16.600000000000001</v>
      </c>
      <c r="K253" t="s">
        <v>77</v>
      </c>
    </row>
    <row r="254" spans="1:11" x14ac:dyDescent="0.25">
      <c r="A254" t="s">
        <v>665</v>
      </c>
      <c r="B254" s="2" t="s">
        <v>51</v>
      </c>
      <c r="C254" s="4" t="s">
        <v>136</v>
      </c>
      <c r="D254" t="s">
        <v>125</v>
      </c>
      <c r="E254" t="s">
        <v>107</v>
      </c>
      <c r="F254" s="4" t="s">
        <v>399</v>
      </c>
      <c r="G254" s="4" t="s">
        <v>400</v>
      </c>
      <c r="H254">
        <v>2028</v>
      </c>
      <c r="I254">
        <v>10.3</v>
      </c>
      <c r="K254" t="s">
        <v>77</v>
      </c>
    </row>
    <row r="255" spans="1:11" x14ac:dyDescent="0.25">
      <c r="A255" t="s">
        <v>666</v>
      </c>
      <c r="B255" s="2" t="s">
        <v>52</v>
      </c>
      <c r="C255" s="4" t="s">
        <v>136</v>
      </c>
      <c r="D255" t="s">
        <v>125</v>
      </c>
      <c r="E255" t="s">
        <v>107</v>
      </c>
      <c r="F255" s="4" t="s">
        <v>399</v>
      </c>
      <c r="G255" s="4" t="s">
        <v>400</v>
      </c>
      <c r="H255">
        <v>2028</v>
      </c>
      <c r="I255">
        <v>17.62</v>
      </c>
      <c r="K255" t="s">
        <v>77</v>
      </c>
    </row>
    <row r="256" spans="1:11" x14ac:dyDescent="0.25">
      <c r="A256" t="s">
        <v>667</v>
      </c>
      <c r="B256" s="2" t="s">
        <v>53</v>
      </c>
      <c r="C256" s="4" t="s">
        <v>136</v>
      </c>
      <c r="D256" t="s">
        <v>126</v>
      </c>
      <c r="E256" t="s">
        <v>108</v>
      </c>
      <c r="F256" s="4" t="s">
        <v>399</v>
      </c>
      <c r="G256" s="4" t="s">
        <v>400</v>
      </c>
      <c r="H256">
        <v>2028</v>
      </c>
      <c r="I256">
        <v>3.34</v>
      </c>
      <c r="K256" t="s">
        <v>77</v>
      </c>
    </row>
    <row r="257" spans="1:11" x14ac:dyDescent="0.25">
      <c r="A257" t="s">
        <v>668</v>
      </c>
      <c r="B257" s="2" t="s">
        <v>54</v>
      </c>
      <c r="C257" s="4" t="s">
        <v>136</v>
      </c>
      <c r="D257" t="s">
        <v>134</v>
      </c>
      <c r="E257" t="s">
        <v>109</v>
      </c>
      <c r="F257" s="4" t="s">
        <v>399</v>
      </c>
      <c r="G257" s="4" t="s">
        <v>400</v>
      </c>
      <c r="H257">
        <v>2028</v>
      </c>
      <c r="I257">
        <v>56.61</v>
      </c>
      <c r="K257" t="s">
        <v>77</v>
      </c>
    </row>
    <row r="258" spans="1:11" x14ac:dyDescent="0.25">
      <c r="A258" t="s">
        <v>669</v>
      </c>
      <c r="B258" s="2" t="s">
        <v>55</v>
      </c>
      <c r="C258" s="4" t="s">
        <v>136</v>
      </c>
      <c r="D258" t="s">
        <v>129</v>
      </c>
      <c r="E258" t="s">
        <v>110</v>
      </c>
      <c r="F258" s="4" t="s">
        <v>399</v>
      </c>
      <c r="G258" s="4" t="s">
        <v>400</v>
      </c>
      <c r="H258">
        <v>2028</v>
      </c>
      <c r="I258">
        <v>1.96</v>
      </c>
      <c r="K258" t="s">
        <v>77</v>
      </c>
    </row>
    <row r="259" spans="1:11" x14ac:dyDescent="0.25">
      <c r="A259" t="s">
        <v>670</v>
      </c>
      <c r="B259" s="2" t="s">
        <v>56</v>
      </c>
      <c r="C259" s="4" t="s">
        <v>136</v>
      </c>
      <c r="D259" t="s">
        <v>125</v>
      </c>
      <c r="E259" t="s">
        <v>99</v>
      </c>
      <c r="F259" s="4" t="s">
        <v>399</v>
      </c>
      <c r="G259" s="4" t="s">
        <v>400</v>
      </c>
      <c r="H259">
        <v>2028</v>
      </c>
      <c r="I259">
        <v>28</v>
      </c>
      <c r="K259" t="s">
        <v>77</v>
      </c>
    </row>
    <row r="260" spans="1:11" x14ac:dyDescent="0.25">
      <c r="A260" t="s">
        <v>671</v>
      </c>
      <c r="B260" s="2" t="s">
        <v>59</v>
      </c>
      <c r="C260" s="4" t="s">
        <v>136</v>
      </c>
      <c r="D260" t="s">
        <v>125</v>
      </c>
      <c r="E260" t="s">
        <v>114</v>
      </c>
      <c r="F260" s="4" t="s">
        <v>399</v>
      </c>
      <c r="G260" s="4" t="s">
        <v>400</v>
      </c>
      <c r="H260">
        <v>2028</v>
      </c>
      <c r="I260">
        <v>67.91</v>
      </c>
      <c r="K260" t="s">
        <v>77</v>
      </c>
    </row>
    <row r="261" spans="1:11" x14ac:dyDescent="0.25">
      <c r="A261" t="s">
        <v>672</v>
      </c>
      <c r="B261" s="2" t="s">
        <v>60</v>
      </c>
      <c r="C261" s="4" t="s">
        <v>136</v>
      </c>
      <c r="D261" t="s">
        <v>125</v>
      </c>
      <c r="E261" t="s">
        <v>115</v>
      </c>
      <c r="F261" s="4" t="s">
        <v>399</v>
      </c>
      <c r="G261" s="4" t="s">
        <v>400</v>
      </c>
      <c r="H261">
        <v>2028</v>
      </c>
      <c r="I261">
        <v>67.77</v>
      </c>
      <c r="K261" t="s">
        <v>77</v>
      </c>
    </row>
    <row r="262" spans="1:11" x14ac:dyDescent="0.25">
      <c r="A262" t="s">
        <v>673</v>
      </c>
      <c r="B262" s="2" t="s">
        <v>61</v>
      </c>
      <c r="C262" s="4" t="s">
        <v>136</v>
      </c>
      <c r="D262" t="s">
        <v>125</v>
      </c>
      <c r="E262" t="s">
        <v>116</v>
      </c>
      <c r="F262" s="4" t="s">
        <v>399</v>
      </c>
      <c r="G262" s="4" t="s">
        <v>400</v>
      </c>
      <c r="H262">
        <v>2028</v>
      </c>
      <c r="I262">
        <v>65</v>
      </c>
      <c r="K262" t="s">
        <v>77</v>
      </c>
    </row>
    <row r="263" spans="1:11" x14ac:dyDescent="0.25">
      <c r="A263" t="s">
        <v>674</v>
      </c>
      <c r="B263" s="2" t="s">
        <v>62</v>
      </c>
      <c r="C263" s="4" t="s">
        <v>136</v>
      </c>
      <c r="D263" t="s">
        <v>125</v>
      </c>
      <c r="E263" t="s">
        <v>117</v>
      </c>
      <c r="F263" s="4" t="s">
        <v>399</v>
      </c>
      <c r="G263" s="4" t="s">
        <v>400</v>
      </c>
      <c r="H263">
        <v>2028</v>
      </c>
      <c r="I263">
        <v>6</v>
      </c>
      <c r="K263" t="s">
        <v>77</v>
      </c>
    </row>
    <row r="264" spans="1:11" x14ac:dyDescent="0.25">
      <c r="A264" t="s">
        <v>675</v>
      </c>
      <c r="B264" s="2" t="s">
        <v>63</v>
      </c>
      <c r="C264" s="4" t="s">
        <v>136</v>
      </c>
      <c r="D264" t="s">
        <v>125</v>
      </c>
      <c r="E264" t="s">
        <v>118</v>
      </c>
      <c r="F264" s="4" t="s">
        <v>399</v>
      </c>
      <c r="G264" s="4" t="s">
        <v>400</v>
      </c>
      <c r="H264">
        <v>2028</v>
      </c>
      <c r="I264">
        <v>82</v>
      </c>
      <c r="K264" t="s">
        <v>77</v>
      </c>
    </row>
    <row r="265" spans="1:11" x14ac:dyDescent="0.25">
      <c r="A265" t="s">
        <v>676</v>
      </c>
      <c r="B265" s="2" t="s">
        <v>64</v>
      </c>
      <c r="C265" s="4" t="s">
        <v>136</v>
      </c>
      <c r="D265" t="s">
        <v>125</v>
      </c>
      <c r="E265" t="s">
        <v>78</v>
      </c>
      <c r="F265" s="4" t="s">
        <v>399</v>
      </c>
      <c r="G265" s="4" t="s">
        <v>400</v>
      </c>
      <c r="H265">
        <v>2028</v>
      </c>
      <c r="I265">
        <v>90.5</v>
      </c>
      <c r="K265" t="s">
        <v>77</v>
      </c>
    </row>
    <row r="266" spans="1:11" x14ac:dyDescent="0.25">
      <c r="A266" t="s">
        <v>677</v>
      </c>
      <c r="B266" s="2" t="s">
        <v>65</v>
      </c>
      <c r="C266" s="4" t="s">
        <v>136</v>
      </c>
      <c r="D266" t="s">
        <v>125</v>
      </c>
      <c r="E266" t="s">
        <v>119</v>
      </c>
      <c r="F266" s="4" t="s">
        <v>399</v>
      </c>
      <c r="G266" s="4" t="s">
        <v>400</v>
      </c>
      <c r="H266">
        <v>2028</v>
      </c>
      <c r="I266">
        <v>29</v>
      </c>
      <c r="K266" t="s">
        <v>77</v>
      </c>
    </row>
    <row r="267" spans="1:11" x14ac:dyDescent="0.25">
      <c r="A267" t="s">
        <v>678</v>
      </c>
      <c r="B267" s="2" t="s">
        <v>66</v>
      </c>
      <c r="C267" s="4" t="s">
        <v>136</v>
      </c>
      <c r="D267" t="s">
        <v>125</v>
      </c>
      <c r="E267" t="s">
        <v>78</v>
      </c>
      <c r="F267" s="4" t="s">
        <v>399</v>
      </c>
      <c r="G267" s="4" t="s">
        <v>400</v>
      </c>
      <c r="H267">
        <v>2028</v>
      </c>
      <c r="I267">
        <v>8.3000000000000007</v>
      </c>
      <c r="K267" t="s">
        <v>77</v>
      </c>
    </row>
    <row r="268" spans="1:11" x14ac:dyDescent="0.25">
      <c r="A268" t="s">
        <v>679</v>
      </c>
      <c r="B268" s="2" t="s">
        <v>67</v>
      </c>
      <c r="C268" s="4" t="s">
        <v>136</v>
      </c>
      <c r="D268" t="s">
        <v>125</v>
      </c>
      <c r="E268" t="s">
        <v>120</v>
      </c>
      <c r="F268" s="4" t="s">
        <v>399</v>
      </c>
      <c r="G268" s="4" t="s">
        <v>400</v>
      </c>
      <c r="H268">
        <v>2028</v>
      </c>
      <c r="I268">
        <v>95</v>
      </c>
      <c r="K268" t="s">
        <v>77</v>
      </c>
    </row>
    <row r="269" spans="1:11" x14ac:dyDescent="0.25">
      <c r="A269" t="s">
        <v>680</v>
      </c>
      <c r="B269" s="2" t="s">
        <v>68</v>
      </c>
      <c r="C269" s="4" t="s">
        <v>136</v>
      </c>
      <c r="D269" t="s">
        <v>125</v>
      </c>
      <c r="E269" t="s">
        <v>120</v>
      </c>
      <c r="F269" s="4" t="s">
        <v>399</v>
      </c>
      <c r="G269" s="4" t="s">
        <v>400</v>
      </c>
      <c r="H269">
        <v>2028</v>
      </c>
      <c r="I269">
        <v>62.4</v>
      </c>
      <c r="K269" t="s">
        <v>77</v>
      </c>
    </row>
    <row r="270" spans="1:11" x14ac:dyDescent="0.25">
      <c r="A270" t="s">
        <v>681</v>
      </c>
      <c r="B270" s="2" t="s">
        <v>69</v>
      </c>
      <c r="C270" s="4" t="s">
        <v>136</v>
      </c>
      <c r="D270" t="s">
        <v>125</v>
      </c>
      <c r="E270" t="s">
        <v>121</v>
      </c>
      <c r="F270" s="4" t="s">
        <v>399</v>
      </c>
      <c r="G270" s="4" t="s">
        <v>400</v>
      </c>
      <c r="H270">
        <v>2028</v>
      </c>
      <c r="I270">
        <v>25</v>
      </c>
      <c r="K270" t="s">
        <v>77</v>
      </c>
    </row>
    <row r="271" spans="1:11" x14ac:dyDescent="0.25">
      <c r="A271" t="s">
        <v>682</v>
      </c>
      <c r="B271" s="2" t="s">
        <v>70</v>
      </c>
      <c r="C271" s="4" t="s">
        <v>136</v>
      </c>
      <c r="D271" t="s">
        <v>125</v>
      </c>
      <c r="E271" t="s">
        <v>122</v>
      </c>
      <c r="F271" s="4" t="s">
        <v>399</v>
      </c>
      <c r="G271" s="4" t="s">
        <v>400</v>
      </c>
      <c r="H271">
        <v>2028</v>
      </c>
      <c r="I271">
        <v>40</v>
      </c>
      <c r="K271" t="s">
        <v>77</v>
      </c>
    </row>
    <row r="272" spans="1:11" x14ac:dyDescent="0.25">
      <c r="A272" t="s">
        <v>683</v>
      </c>
      <c r="B272" s="2" t="s">
        <v>71</v>
      </c>
      <c r="C272" s="4" t="s">
        <v>136</v>
      </c>
      <c r="D272" t="s">
        <v>125</v>
      </c>
      <c r="E272" t="s">
        <v>123</v>
      </c>
      <c r="F272" s="4" t="s">
        <v>399</v>
      </c>
      <c r="G272" s="4" t="s">
        <v>400</v>
      </c>
      <c r="H272">
        <v>2028</v>
      </c>
      <c r="I272">
        <v>66.88</v>
      </c>
      <c r="K272" t="s">
        <v>77</v>
      </c>
    </row>
    <row r="273" spans="1:11" x14ac:dyDescent="0.25">
      <c r="A273" t="s">
        <v>684</v>
      </c>
      <c r="B273" s="2" t="s">
        <v>72</v>
      </c>
      <c r="C273" s="4" t="s">
        <v>136</v>
      </c>
      <c r="D273" t="s">
        <v>125</v>
      </c>
      <c r="E273" t="s">
        <v>124</v>
      </c>
      <c r="F273" s="4" t="s">
        <v>399</v>
      </c>
      <c r="G273" s="4" t="s">
        <v>400</v>
      </c>
      <c r="H273">
        <v>2028</v>
      </c>
      <c r="I273">
        <v>68</v>
      </c>
      <c r="K273" t="s">
        <v>77</v>
      </c>
    </row>
    <row r="274" spans="1:11" x14ac:dyDescent="0.25">
      <c r="A274" t="s">
        <v>685</v>
      </c>
      <c r="B274" s="2" t="s">
        <v>2</v>
      </c>
      <c r="C274" s="4" t="s">
        <v>136</v>
      </c>
      <c r="D274" t="s">
        <v>125</v>
      </c>
      <c r="E274" t="s">
        <v>78</v>
      </c>
      <c r="F274" s="4" t="s">
        <v>399</v>
      </c>
      <c r="G274" s="4" t="s">
        <v>400</v>
      </c>
      <c r="H274">
        <v>2029</v>
      </c>
      <c r="I274">
        <v>34.71</v>
      </c>
      <c r="K274" t="s">
        <v>77</v>
      </c>
    </row>
    <row r="275" spans="1:11" x14ac:dyDescent="0.25">
      <c r="A275" t="s">
        <v>686</v>
      </c>
      <c r="B275" s="2" t="s">
        <v>3</v>
      </c>
      <c r="C275" s="4" t="s">
        <v>136</v>
      </c>
      <c r="D275" t="s">
        <v>125</v>
      </c>
      <c r="E275" t="s">
        <v>78</v>
      </c>
      <c r="F275" s="4" t="s">
        <v>399</v>
      </c>
      <c r="G275" s="4" t="s">
        <v>400</v>
      </c>
      <c r="H275">
        <v>2029</v>
      </c>
      <c r="I275">
        <v>61.65</v>
      </c>
      <c r="K275" t="s">
        <v>77</v>
      </c>
    </row>
    <row r="276" spans="1:11" x14ac:dyDescent="0.25">
      <c r="A276" t="s">
        <v>687</v>
      </c>
      <c r="B276" s="2" t="s">
        <v>4</v>
      </c>
      <c r="C276" s="4" t="s">
        <v>136</v>
      </c>
      <c r="D276" t="s">
        <v>126</v>
      </c>
      <c r="E276" t="s">
        <v>79</v>
      </c>
      <c r="F276" s="4" t="s">
        <v>399</v>
      </c>
      <c r="G276" s="4" t="s">
        <v>400</v>
      </c>
      <c r="H276">
        <v>2029</v>
      </c>
      <c r="I276">
        <v>67.239999999999995</v>
      </c>
      <c r="K276" t="s">
        <v>77</v>
      </c>
    </row>
    <row r="277" spans="1:11" x14ac:dyDescent="0.25">
      <c r="A277" t="s">
        <v>688</v>
      </c>
      <c r="B277" s="2" t="s">
        <v>5</v>
      </c>
      <c r="C277" s="4" t="s">
        <v>136</v>
      </c>
      <c r="D277" t="s">
        <v>125</v>
      </c>
      <c r="E277" t="s">
        <v>78</v>
      </c>
      <c r="F277" s="4" t="s">
        <v>399</v>
      </c>
      <c r="G277" s="4" t="s">
        <v>400</v>
      </c>
      <c r="H277">
        <v>2029</v>
      </c>
      <c r="I277">
        <v>89.51</v>
      </c>
      <c r="K277" t="s">
        <v>77</v>
      </c>
    </row>
    <row r="278" spans="1:11" x14ac:dyDescent="0.25">
      <c r="A278" t="s">
        <v>689</v>
      </c>
      <c r="B278" s="2" t="s">
        <v>6</v>
      </c>
      <c r="C278" s="4" t="s">
        <v>136</v>
      </c>
      <c r="D278" t="s">
        <v>125</v>
      </c>
      <c r="E278" t="s">
        <v>80</v>
      </c>
      <c r="F278" s="4" t="s">
        <v>399</v>
      </c>
      <c r="G278" s="4" t="s">
        <v>400</v>
      </c>
      <c r="H278">
        <v>2029</v>
      </c>
      <c r="I278">
        <v>1.5</v>
      </c>
      <c r="K278" t="s">
        <v>77</v>
      </c>
    </row>
    <row r="279" spans="1:11" x14ac:dyDescent="0.25">
      <c r="A279" t="s">
        <v>690</v>
      </c>
      <c r="B279" s="2" t="s">
        <v>7</v>
      </c>
      <c r="C279" s="4" t="s">
        <v>136</v>
      </c>
      <c r="D279" t="s">
        <v>125</v>
      </c>
      <c r="E279" t="s">
        <v>81</v>
      </c>
      <c r="F279" s="4" t="s">
        <v>399</v>
      </c>
      <c r="G279" s="4" t="s">
        <v>400</v>
      </c>
      <c r="H279">
        <v>2029</v>
      </c>
      <c r="I279">
        <v>60.18</v>
      </c>
      <c r="K279" t="s">
        <v>77</v>
      </c>
    </row>
    <row r="280" spans="1:11" x14ac:dyDescent="0.25">
      <c r="A280" t="s">
        <v>691</v>
      </c>
      <c r="B280" s="2" t="s">
        <v>8</v>
      </c>
      <c r="C280" s="4" t="s">
        <v>136</v>
      </c>
      <c r="D280" t="s">
        <v>125</v>
      </c>
      <c r="E280" t="s">
        <v>82</v>
      </c>
      <c r="F280" s="4" t="s">
        <v>399</v>
      </c>
      <c r="G280" s="4" t="s">
        <v>400</v>
      </c>
      <c r="H280">
        <v>2029</v>
      </c>
      <c r="I280">
        <v>10.95</v>
      </c>
      <c r="K280" t="s">
        <v>77</v>
      </c>
    </row>
    <row r="281" spans="1:11" x14ac:dyDescent="0.25">
      <c r="A281" t="s">
        <v>692</v>
      </c>
      <c r="B281" s="2" t="s">
        <v>9</v>
      </c>
      <c r="C281" s="4" t="s">
        <v>136</v>
      </c>
      <c r="D281" t="s">
        <v>125</v>
      </c>
      <c r="E281" t="s">
        <v>82</v>
      </c>
      <c r="F281" s="4" t="s">
        <v>399</v>
      </c>
      <c r="G281" s="4" t="s">
        <v>400</v>
      </c>
      <c r="H281">
        <v>2029</v>
      </c>
      <c r="I281">
        <v>27.54</v>
      </c>
      <c r="K281" t="s">
        <v>77</v>
      </c>
    </row>
    <row r="282" spans="1:11" x14ac:dyDescent="0.25">
      <c r="A282" t="s">
        <v>693</v>
      </c>
      <c r="B282" s="2" t="s">
        <v>10</v>
      </c>
      <c r="C282" s="4" t="s">
        <v>136</v>
      </c>
      <c r="D282" t="s">
        <v>125</v>
      </c>
      <c r="E282" t="s">
        <v>78</v>
      </c>
      <c r="F282" s="4" t="s">
        <v>399</v>
      </c>
      <c r="G282" s="4" t="s">
        <v>400</v>
      </c>
      <c r="H282">
        <v>2029</v>
      </c>
      <c r="I282">
        <v>23.99</v>
      </c>
      <c r="K282" t="s">
        <v>77</v>
      </c>
    </row>
    <row r="283" spans="1:11" x14ac:dyDescent="0.25">
      <c r="A283" t="s">
        <v>694</v>
      </c>
      <c r="B283" s="2" t="s">
        <v>11</v>
      </c>
      <c r="C283" s="4" t="s">
        <v>136</v>
      </c>
      <c r="D283" t="s">
        <v>125</v>
      </c>
      <c r="E283" t="s">
        <v>78</v>
      </c>
      <c r="F283" s="4" t="s">
        <v>399</v>
      </c>
      <c r="G283" s="4" t="s">
        <v>400</v>
      </c>
      <c r="H283">
        <v>2029</v>
      </c>
      <c r="I283">
        <v>91.09</v>
      </c>
      <c r="K283" t="s">
        <v>77</v>
      </c>
    </row>
    <row r="284" spans="1:11" x14ac:dyDescent="0.25">
      <c r="A284" t="s">
        <v>695</v>
      </c>
      <c r="B284" s="2" t="s">
        <v>12</v>
      </c>
      <c r="C284" s="4" t="s">
        <v>136</v>
      </c>
      <c r="D284" s="4" t="s">
        <v>125</v>
      </c>
      <c r="E284" t="s">
        <v>83</v>
      </c>
      <c r="F284" s="4" t="s">
        <v>399</v>
      </c>
      <c r="G284" s="4" t="s">
        <v>400</v>
      </c>
      <c r="H284">
        <v>2029</v>
      </c>
      <c r="I284">
        <v>80</v>
      </c>
      <c r="K284" t="s">
        <v>77</v>
      </c>
    </row>
    <row r="285" spans="1:11" x14ac:dyDescent="0.25">
      <c r="A285" t="s">
        <v>696</v>
      </c>
      <c r="B285" s="2" t="s">
        <v>13</v>
      </c>
      <c r="C285" s="4" t="s">
        <v>136</v>
      </c>
      <c r="D285" t="s">
        <v>127</v>
      </c>
      <c r="E285" t="s">
        <v>84</v>
      </c>
      <c r="F285" s="4" t="s">
        <v>399</v>
      </c>
      <c r="G285" s="4" t="s">
        <v>400</v>
      </c>
      <c r="H285">
        <v>2029</v>
      </c>
      <c r="I285">
        <v>15</v>
      </c>
      <c r="K285" t="s">
        <v>77</v>
      </c>
    </row>
    <row r="286" spans="1:11" x14ac:dyDescent="0.25">
      <c r="A286" t="s">
        <v>697</v>
      </c>
      <c r="B286" s="2" t="s">
        <v>14</v>
      </c>
      <c r="C286" s="4" t="s">
        <v>136</v>
      </c>
      <c r="D286" t="s">
        <v>125</v>
      </c>
      <c r="E286" t="s">
        <v>84</v>
      </c>
      <c r="F286" s="4" t="s">
        <v>399</v>
      </c>
      <c r="G286" s="4" t="s">
        <v>400</v>
      </c>
      <c r="H286">
        <v>2029</v>
      </c>
      <c r="I286">
        <v>74</v>
      </c>
      <c r="K286" t="s">
        <v>77</v>
      </c>
    </row>
    <row r="287" spans="1:11" x14ac:dyDescent="0.25">
      <c r="A287" t="s">
        <v>698</v>
      </c>
      <c r="B287" s="2" t="s">
        <v>15</v>
      </c>
      <c r="C287" s="4" t="s">
        <v>136</v>
      </c>
      <c r="D287" t="s">
        <v>125</v>
      </c>
      <c r="E287" t="s">
        <v>78</v>
      </c>
      <c r="F287" s="4" t="s">
        <v>399</v>
      </c>
      <c r="G287" s="4" t="s">
        <v>400</v>
      </c>
      <c r="H287">
        <v>2029</v>
      </c>
      <c r="I287">
        <v>50.61</v>
      </c>
      <c r="K287" t="s">
        <v>77</v>
      </c>
    </row>
    <row r="288" spans="1:11" x14ac:dyDescent="0.25">
      <c r="A288" t="s">
        <v>699</v>
      </c>
      <c r="B288" s="2" t="s">
        <v>16</v>
      </c>
      <c r="C288" s="4" t="s">
        <v>136</v>
      </c>
      <c r="D288" t="s">
        <v>128</v>
      </c>
      <c r="E288" t="s">
        <v>85</v>
      </c>
      <c r="F288" s="4" t="s">
        <v>399</v>
      </c>
      <c r="G288" s="4" t="s">
        <v>400</v>
      </c>
      <c r="H288">
        <v>2029</v>
      </c>
      <c r="I288">
        <v>7</v>
      </c>
      <c r="K288" t="s">
        <v>77</v>
      </c>
    </row>
    <row r="289" spans="1:11" x14ac:dyDescent="0.25">
      <c r="A289" t="s">
        <v>700</v>
      </c>
      <c r="B289" s="2" t="s">
        <v>17</v>
      </c>
      <c r="C289" s="4" t="s">
        <v>136</v>
      </c>
      <c r="D289" t="s">
        <v>125</v>
      </c>
      <c r="E289" t="s">
        <v>86</v>
      </c>
      <c r="F289" s="4" t="s">
        <v>399</v>
      </c>
      <c r="G289" s="4" t="s">
        <v>400</v>
      </c>
      <c r="H289">
        <v>2029</v>
      </c>
      <c r="I289">
        <v>100</v>
      </c>
      <c r="K289" t="s">
        <v>77</v>
      </c>
    </row>
    <row r="290" spans="1:11" x14ac:dyDescent="0.25">
      <c r="A290" t="s">
        <v>701</v>
      </c>
      <c r="B290" s="3" t="s">
        <v>18</v>
      </c>
      <c r="C290" s="4" t="s">
        <v>136</v>
      </c>
      <c r="D290" t="s">
        <v>125</v>
      </c>
      <c r="E290" t="s">
        <v>87</v>
      </c>
      <c r="F290" s="4" t="s">
        <v>399</v>
      </c>
      <c r="G290" s="4" t="s">
        <v>400</v>
      </c>
      <c r="H290">
        <v>2029</v>
      </c>
      <c r="I290">
        <v>100</v>
      </c>
      <c r="K290" t="s">
        <v>77</v>
      </c>
    </row>
    <row r="291" spans="1:11" x14ac:dyDescent="0.25">
      <c r="A291" t="s">
        <v>702</v>
      </c>
      <c r="B291" s="2" t="s">
        <v>19</v>
      </c>
      <c r="C291" s="4" t="s">
        <v>136</v>
      </c>
      <c r="D291" t="s">
        <v>125</v>
      </c>
      <c r="E291" t="s">
        <v>84</v>
      </c>
      <c r="F291" s="4" t="s">
        <v>399</v>
      </c>
      <c r="G291" s="4" t="s">
        <v>400</v>
      </c>
      <c r="H291">
        <v>2029</v>
      </c>
      <c r="I291">
        <v>100</v>
      </c>
      <c r="K291" t="s">
        <v>77</v>
      </c>
    </row>
    <row r="292" spans="1:11" x14ac:dyDescent="0.25">
      <c r="A292" t="s">
        <v>703</v>
      </c>
      <c r="B292" s="2" t="s">
        <v>20</v>
      </c>
      <c r="C292" s="4" t="s">
        <v>136</v>
      </c>
      <c r="D292" t="s">
        <v>125</v>
      </c>
      <c r="E292" t="s">
        <v>84</v>
      </c>
      <c r="F292" s="4" t="s">
        <v>399</v>
      </c>
      <c r="G292" s="4" t="s">
        <v>400</v>
      </c>
      <c r="H292">
        <v>2029</v>
      </c>
      <c r="I292">
        <v>50</v>
      </c>
      <c r="K292" t="s">
        <v>77</v>
      </c>
    </row>
    <row r="293" spans="1:11" x14ac:dyDescent="0.25">
      <c r="A293" t="s">
        <v>704</v>
      </c>
      <c r="B293" s="2" t="s">
        <v>21</v>
      </c>
      <c r="C293" s="4" t="s">
        <v>136</v>
      </c>
      <c r="D293" t="s">
        <v>125</v>
      </c>
      <c r="E293" t="s">
        <v>88</v>
      </c>
      <c r="F293" s="4" t="s">
        <v>399</v>
      </c>
      <c r="G293" s="4" t="s">
        <v>400</v>
      </c>
      <c r="H293">
        <v>2029</v>
      </c>
      <c r="I293">
        <v>100</v>
      </c>
      <c r="K293" t="s">
        <v>77</v>
      </c>
    </row>
    <row r="294" spans="1:11" x14ac:dyDescent="0.25">
      <c r="A294" t="s">
        <v>705</v>
      </c>
      <c r="B294" s="3" t="s">
        <v>22</v>
      </c>
      <c r="C294" s="4" t="s">
        <v>136</v>
      </c>
      <c r="D294" t="s">
        <v>129</v>
      </c>
      <c r="E294" t="s">
        <v>89</v>
      </c>
      <c r="F294" s="4" t="s">
        <v>399</v>
      </c>
      <c r="G294" s="4" t="s">
        <v>400</v>
      </c>
      <c r="H294">
        <v>2029</v>
      </c>
      <c r="I294">
        <v>110</v>
      </c>
      <c r="K294" t="s">
        <v>77</v>
      </c>
    </row>
    <row r="295" spans="1:11" x14ac:dyDescent="0.25">
      <c r="A295" t="s">
        <v>706</v>
      </c>
      <c r="B295" s="2" t="s">
        <v>23</v>
      </c>
      <c r="C295" s="4" t="s">
        <v>136</v>
      </c>
      <c r="D295" t="s">
        <v>125</v>
      </c>
      <c r="E295" t="s">
        <v>90</v>
      </c>
      <c r="F295" s="4" t="s">
        <v>399</v>
      </c>
      <c r="G295" s="4" t="s">
        <v>400</v>
      </c>
      <c r="H295">
        <v>2029</v>
      </c>
      <c r="I295">
        <v>6</v>
      </c>
      <c r="K295" t="s">
        <v>77</v>
      </c>
    </row>
    <row r="296" spans="1:11" x14ac:dyDescent="0.25">
      <c r="A296" t="s">
        <v>707</v>
      </c>
      <c r="B296" s="2" t="s">
        <v>24</v>
      </c>
      <c r="C296" s="4" t="s">
        <v>136</v>
      </c>
      <c r="D296" t="s">
        <v>130</v>
      </c>
      <c r="E296" t="s">
        <v>78</v>
      </c>
      <c r="F296" s="4" t="s">
        <v>399</v>
      </c>
      <c r="G296" s="4" t="s">
        <v>400</v>
      </c>
      <c r="H296">
        <v>2029</v>
      </c>
      <c r="I296">
        <v>0.28299999999999997</v>
      </c>
      <c r="K296" t="s">
        <v>77</v>
      </c>
    </row>
    <row r="297" spans="1:11" x14ac:dyDescent="0.25">
      <c r="A297" t="s">
        <v>708</v>
      </c>
      <c r="B297" s="2" t="s">
        <v>25</v>
      </c>
      <c r="C297" s="4" t="s">
        <v>136</v>
      </c>
      <c r="D297" t="s">
        <v>125</v>
      </c>
      <c r="E297" t="s">
        <v>91</v>
      </c>
      <c r="F297" s="4" t="s">
        <v>399</v>
      </c>
      <c r="G297" s="4" t="s">
        <v>400</v>
      </c>
      <c r="H297">
        <v>2029</v>
      </c>
      <c r="I297">
        <v>96</v>
      </c>
      <c r="K297" t="s">
        <v>77</v>
      </c>
    </row>
    <row r="298" spans="1:11" x14ac:dyDescent="0.25">
      <c r="A298" t="s">
        <v>709</v>
      </c>
      <c r="B298" s="2" t="s">
        <v>26</v>
      </c>
      <c r="C298" s="4" t="s">
        <v>136</v>
      </c>
      <c r="D298" t="s">
        <v>125</v>
      </c>
      <c r="E298" t="s">
        <v>92</v>
      </c>
      <c r="F298" s="4" t="s">
        <v>399</v>
      </c>
      <c r="G298" s="4" t="s">
        <v>400</v>
      </c>
      <c r="H298">
        <v>2029</v>
      </c>
      <c r="I298">
        <v>95</v>
      </c>
      <c r="K298" t="s">
        <v>77</v>
      </c>
    </row>
    <row r="299" spans="1:11" x14ac:dyDescent="0.25">
      <c r="A299" t="s">
        <v>710</v>
      </c>
      <c r="B299" s="3" t="s">
        <v>27</v>
      </c>
      <c r="C299" s="4" t="s">
        <v>136</v>
      </c>
      <c r="D299" t="s">
        <v>125</v>
      </c>
      <c r="E299" t="s">
        <v>93</v>
      </c>
      <c r="F299" s="4" t="s">
        <v>399</v>
      </c>
      <c r="G299" s="4" t="s">
        <v>400</v>
      </c>
      <c r="H299">
        <v>2029</v>
      </c>
      <c r="I299">
        <v>9.8000000000000007</v>
      </c>
      <c r="K299" t="s">
        <v>77</v>
      </c>
    </row>
    <row r="300" spans="1:11" x14ac:dyDescent="0.25">
      <c r="A300" t="s">
        <v>711</v>
      </c>
      <c r="B300" s="2" t="s">
        <v>29</v>
      </c>
      <c r="C300" s="4" t="s">
        <v>136</v>
      </c>
      <c r="D300" t="s">
        <v>125</v>
      </c>
      <c r="E300" t="s">
        <v>95</v>
      </c>
      <c r="F300" s="4" t="s">
        <v>399</v>
      </c>
      <c r="G300" s="4" t="s">
        <v>400</v>
      </c>
      <c r="H300">
        <v>2029</v>
      </c>
      <c r="I300">
        <v>6.8</v>
      </c>
      <c r="K300" t="s">
        <v>77</v>
      </c>
    </row>
    <row r="301" spans="1:11" x14ac:dyDescent="0.25">
      <c r="A301" t="s">
        <v>712</v>
      </c>
      <c r="B301" s="2" t="s">
        <v>30</v>
      </c>
      <c r="C301" s="4" t="s">
        <v>136</v>
      </c>
      <c r="D301" t="s">
        <v>125</v>
      </c>
      <c r="E301" t="s">
        <v>90</v>
      </c>
      <c r="F301" s="4" t="s">
        <v>399</v>
      </c>
      <c r="G301" s="4" t="s">
        <v>400</v>
      </c>
      <c r="H301">
        <v>2029</v>
      </c>
      <c r="I301">
        <v>30.84</v>
      </c>
      <c r="K301" t="s">
        <v>77</v>
      </c>
    </row>
    <row r="302" spans="1:11" x14ac:dyDescent="0.25">
      <c r="A302" t="s">
        <v>713</v>
      </c>
      <c r="B302" s="2" t="s">
        <v>31</v>
      </c>
      <c r="C302" s="4" t="s">
        <v>136</v>
      </c>
      <c r="D302" t="s">
        <v>125</v>
      </c>
      <c r="E302" t="s">
        <v>96</v>
      </c>
      <c r="F302" s="4" t="s">
        <v>399</v>
      </c>
      <c r="G302" s="4" t="s">
        <v>400</v>
      </c>
      <c r="H302">
        <v>2029</v>
      </c>
      <c r="I302">
        <v>56</v>
      </c>
      <c r="K302" t="s">
        <v>77</v>
      </c>
    </row>
    <row r="303" spans="1:11" x14ac:dyDescent="0.25">
      <c r="A303" t="s">
        <v>714</v>
      </c>
      <c r="B303" s="3" t="s">
        <v>32</v>
      </c>
      <c r="C303" s="4" t="s">
        <v>136</v>
      </c>
      <c r="D303" t="s">
        <v>125</v>
      </c>
      <c r="E303" t="s">
        <v>96</v>
      </c>
      <c r="F303" s="4" t="s">
        <v>399</v>
      </c>
      <c r="G303" s="4" t="s">
        <v>400</v>
      </c>
      <c r="H303">
        <v>2029</v>
      </c>
      <c r="I303">
        <v>16</v>
      </c>
      <c r="K303" t="s">
        <v>77</v>
      </c>
    </row>
    <row r="304" spans="1:11" x14ac:dyDescent="0.25">
      <c r="A304" t="s">
        <v>715</v>
      </c>
      <c r="B304" s="3" t="s">
        <v>33</v>
      </c>
      <c r="C304" s="4" t="s">
        <v>136</v>
      </c>
      <c r="D304" t="s">
        <v>125</v>
      </c>
      <c r="E304" t="s">
        <v>96</v>
      </c>
      <c r="F304" s="4" t="s">
        <v>399</v>
      </c>
      <c r="G304" s="4" t="s">
        <v>400</v>
      </c>
      <c r="H304">
        <v>2029</v>
      </c>
      <c r="I304">
        <v>5</v>
      </c>
      <c r="K304" t="s">
        <v>77</v>
      </c>
    </row>
    <row r="305" spans="1:11" x14ac:dyDescent="0.25">
      <c r="A305" t="s">
        <v>716</v>
      </c>
      <c r="B305" s="2" t="s">
        <v>34</v>
      </c>
      <c r="C305" s="4" t="s">
        <v>136</v>
      </c>
      <c r="D305" t="s">
        <v>125</v>
      </c>
      <c r="E305" t="s">
        <v>90</v>
      </c>
      <c r="F305" s="4" t="s">
        <v>399</v>
      </c>
      <c r="G305" s="4" t="s">
        <v>400</v>
      </c>
      <c r="H305">
        <v>2029</v>
      </c>
      <c r="I305">
        <v>6.6</v>
      </c>
      <c r="K305" t="s">
        <v>77</v>
      </c>
    </row>
    <row r="306" spans="1:11" x14ac:dyDescent="0.25">
      <c r="A306" t="s">
        <v>717</v>
      </c>
      <c r="B306" s="2" t="s">
        <v>35</v>
      </c>
      <c r="C306" s="4" t="s">
        <v>136</v>
      </c>
      <c r="D306" t="s">
        <v>125</v>
      </c>
      <c r="E306" t="s">
        <v>97</v>
      </c>
      <c r="F306" s="4" t="s">
        <v>399</v>
      </c>
      <c r="G306" s="4" t="s">
        <v>400</v>
      </c>
      <c r="H306">
        <v>2029</v>
      </c>
      <c r="I306">
        <v>44.5</v>
      </c>
      <c r="K306" t="s">
        <v>77</v>
      </c>
    </row>
    <row r="307" spans="1:11" x14ac:dyDescent="0.25">
      <c r="A307" t="s">
        <v>718</v>
      </c>
      <c r="B307" s="2" t="s">
        <v>36</v>
      </c>
      <c r="C307" s="4" t="s">
        <v>136</v>
      </c>
      <c r="D307" t="s">
        <v>125</v>
      </c>
      <c r="E307" t="s">
        <v>98</v>
      </c>
      <c r="F307" s="4" t="s">
        <v>399</v>
      </c>
      <c r="G307" s="4" t="s">
        <v>400</v>
      </c>
      <c r="H307">
        <v>2029</v>
      </c>
      <c r="I307">
        <v>21.5</v>
      </c>
      <c r="K307" t="s">
        <v>77</v>
      </c>
    </row>
    <row r="308" spans="1:11" x14ac:dyDescent="0.25">
      <c r="A308" t="s">
        <v>719</v>
      </c>
      <c r="B308" s="2" t="s">
        <v>37</v>
      </c>
      <c r="C308" s="4" t="s">
        <v>136</v>
      </c>
      <c r="D308" t="s">
        <v>125</v>
      </c>
      <c r="E308" t="s">
        <v>99</v>
      </c>
      <c r="F308" s="4" t="s">
        <v>399</v>
      </c>
      <c r="G308" s="4" t="s">
        <v>400</v>
      </c>
      <c r="H308">
        <v>2029</v>
      </c>
      <c r="I308">
        <v>45</v>
      </c>
      <c r="K308" t="s">
        <v>77</v>
      </c>
    </row>
    <row r="309" spans="1:11" x14ac:dyDescent="0.25">
      <c r="A309" t="s">
        <v>720</v>
      </c>
      <c r="B309" s="2" t="s">
        <v>38</v>
      </c>
      <c r="C309" s="4" t="s">
        <v>136</v>
      </c>
      <c r="D309" t="s">
        <v>125</v>
      </c>
      <c r="E309" t="s">
        <v>99</v>
      </c>
      <c r="F309" s="4" t="s">
        <v>399</v>
      </c>
      <c r="G309" s="4" t="s">
        <v>400</v>
      </c>
      <c r="H309">
        <v>2029</v>
      </c>
      <c r="I309">
        <v>64</v>
      </c>
      <c r="K309" t="s">
        <v>77</v>
      </c>
    </row>
    <row r="310" spans="1:11" x14ac:dyDescent="0.25">
      <c r="A310" t="s">
        <v>721</v>
      </c>
      <c r="B310" s="2" t="s">
        <v>39</v>
      </c>
      <c r="C310" s="4" t="s">
        <v>136</v>
      </c>
      <c r="D310" t="s">
        <v>125</v>
      </c>
      <c r="E310" t="s">
        <v>100</v>
      </c>
      <c r="F310" s="4" t="s">
        <v>399</v>
      </c>
      <c r="G310" s="4" t="s">
        <v>400</v>
      </c>
      <c r="H310">
        <v>2029</v>
      </c>
      <c r="I310">
        <v>4.2</v>
      </c>
      <c r="K310" t="s">
        <v>77</v>
      </c>
    </row>
    <row r="311" spans="1:11" x14ac:dyDescent="0.25">
      <c r="A311" t="s">
        <v>722</v>
      </c>
      <c r="B311" s="2" t="s">
        <v>40</v>
      </c>
      <c r="C311" s="4" t="s">
        <v>136</v>
      </c>
      <c r="D311" t="s">
        <v>125</v>
      </c>
      <c r="E311" t="s">
        <v>100</v>
      </c>
      <c r="F311" s="4" t="s">
        <v>399</v>
      </c>
      <c r="G311" s="4" t="s">
        <v>400</v>
      </c>
      <c r="H311">
        <v>2029</v>
      </c>
      <c r="I311">
        <v>6.5</v>
      </c>
      <c r="K311" t="s">
        <v>77</v>
      </c>
    </row>
    <row r="312" spans="1:11" x14ac:dyDescent="0.25">
      <c r="A312" t="s">
        <v>723</v>
      </c>
      <c r="B312" s="2" t="s">
        <v>41</v>
      </c>
      <c r="C312" s="4" t="s">
        <v>136</v>
      </c>
      <c r="D312" t="s">
        <v>125</v>
      </c>
      <c r="E312" t="s">
        <v>101</v>
      </c>
      <c r="F312" s="4" t="s">
        <v>399</v>
      </c>
      <c r="G312" s="4" t="s">
        <v>400</v>
      </c>
      <c r="H312">
        <v>2029</v>
      </c>
      <c r="I312">
        <v>56.71</v>
      </c>
      <c r="K312" t="s">
        <v>77</v>
      </c>
    </row>
    <row r="313" spans="1:11" x14ac:dyDescent="0.25">
      <c r="A313" t="s">
        <v>724</v>
      </c>
      <c r="B313" s="2" t="s">
        <v>42</v>
      </c>
      <c r="C313" s="4" t="s">
        <v>136</v>
      </c>
      <c r="D313" t="s">
        <v>131</v>
      </c>
      <c r="E313" t="s">
        <v>102</v>
      </c>
      <c r="F313" s="4" t="s">
        <v>399</v>
      </c>
      <c r="G313" s="4" t="s">
        <v>400</v>
      </c>
      <c r="H313">
        <v>2029</v>
      </c>
      <c r="I313">
        <v>13.41</v>
      </c>
      <c r="K313" t="s">
        <v>77</v>
      </c>
    </row>
    <row r="314" spans="1:11" x14ac:dyDescent="0.25">
      <c r="A314" t="s">
        <v>725</v>
      </c>
      <c r="B314" s="2" t="s">
        <v>43</v>
      </c>
      <c r="C314" s="4" t="s">
        <v>136</v>
      </c>
      <c r="D314" t="s">
        <v>127</v>
      </c>
      <c r="E314" t="s">
        <v>103</v>
      </c>
      <c r="F314" s="4" t="s">
        <v>399</v>
      </c>
      <c r="G314" s="4" t="s">
        <v>400</v>
      </c>
      <c r="H314">
        <v>2029</v>
      </c>
      <c r="I314">
        <v>20</v>
      </c>
      <c r="K314" t="s">
        <v>77</v>
      </c>
    </row>
    <row r="315" spans="1:11" x14ac:dyDescent="0.25">
      <c r="A315" t="s">
        <v>726</v>
      </c>
      <c r="B315" s="2" t="s">
        <v>44</v>
      </c>
      <c r="C315" s="4" t="s">
        <v>136</v>
      </c>
      <c r="D315" t="s">
        <v>125</v>
      </c>
      <c r="E315" s="4" t="s">
        <v>104</v>
      </c>
      <c r="F315" s="4" t="s">
        <v>399</v>
      </c>
      <c r="G315" s="4" t="s">
        <v>400</v>
      </c>
      <c r="H315">
        <v>2029</v>
      </c>
      <c r="I315">
        <v>100</v>
      </c>
      <c r="K315" t="s">
        <v>77</v>
      </c>
    </row>
    <row r="316" spans="1:11" x14ac:dyDescent="0.25">
      <c r="A316" t="s">
        <v>727</v>
      </c>
      <c r="B316" s="2" t="s">
        <v>45</v>
      </c>
      <c r="C316" s="4" t="s">
        <v>136</v>
      </c>
      <c r="D316" t="s">
        <v>125</v>
      </c>
      <c r="E316" s="4" t="s">
        <v>104</v>
      </c>
      <c r="F316" s="4" t="s">
        <v>399</v>
      </c>
      <c r="G316" s="4" t="s">
        <v>400</v>
      </c>
      <c r="H316">
        <v>2029</v>
      </c>
      <c r="I316">
        <v>80</v>
      </c>
      <c r="K316" t="s">
        <v>77</v>
      </c>
    </row>
    <row r="317" spans="1:11" x14ac:dyDescent="0.25">
      <c r="A317" t="s">
        <v>728</v>
      </c>
      <c r="B317" s="2" t="s">
        <v>46</v>
      </c>
      <c r="C317" s="4" t="s">
        <v>136</v>
      </c>
      <c r="D317" t="s">
        <v>125</v>
      </c>
      <c r="E317" t="s">
        <v>78</v>
      </c>
      <c r="F317" s="4" t="s">
        <v>399</v>
      </c>
      <c r="G317" s="4" t="s">
        <v>400</v>
      </c>
      <c r="H317">
        <v>2029</v>
      </c>
      <c r="I317">
        <v>42.92</v>
      </c>
      <c r="K317" t="s">
        <v>77</v>
      </c>
    </row>
    <row r="318" spans="1:11" x14ac:dyDescent="0.25">
      <c r="A318" t="s">
        <v>729</v>
      </c>
      <c r="B318" s="2" t="s">
        <v>47</v>
      </c>
      <c r="C318" s="4" t="s">
        <v>136</v>
      </c>
      <c r="D318" t="s">
        <v>132</v>
      </c>
      <c r="E318" t="s">
        <v>105</v>
      </c>
      <c r="F318" s="4" t="s">
        <v>399</v>
      </c>
      <c r="G318" s="4" t="s">
        <v>400</v>
      </c>
      <c r="H318">
        <v>2029</v>
      </c>
      <c r="I318">
        <v>54</v>
      </c>
      <c r="K318" t="s">
        <v>77</v>
      </c>
    </row>
    <row r="319" spans="1:11" x14ac:dyDescent="0.25">
      <c r="A319" t="s">
        <v>730</v>
      </c>
      <c r="B319" s="2" t="s">
        <v>48</v>
      </c>
      <c r="C319" s="4" t="s">
        <v>136</v>
      </c>
      <c r="D319" t="s">
        <v>133</v>
      </c>
      <c r="E319" t="s">
        <v>106</v>
      </c>
      <c r="F319" s="4" t="s">
        <v>399</v>
      </c>
      <c r="G319" s="4" t="s">
        <v>400</v>
      </c>
      <c r="H319">
        <v>2029</v>
      </c>
      <c r="I319">
        <v>240.8</v>
      </c>
      <c r="K319" t="s">
        <v>77</v>
      </c>
    </row>
    <row r="320" spans="1:11" x14ac:dyDescent="0.25">
      <c r="A320" t="s">
        <v>731</v>
      </c>
      <c r="B320" s="2" t="s">
        <v>49</v>
      </c>
      <c r="C320" s="4" t="s">
        <v>136</v>
      </c>
      <c r="D320" t="s">
        <v>125</v>
      </c>
      <c r="E320" t="s">
        <v>107</v>
      </c>
      <c r="F320" s="4" t="s">
        <v>399</v>
      </c>
      <c r="G320" s="4" t="s">
        <v>400</v>
      </c>
      <c r="H320">
        <v>2029</v>
      </c>
      <c r="I320">
        <v>52.3</v>
      </c>
      <c r="K320" t="s">
        <v>77</v>
      </c>
    </row>
    <row r="321" spans="1:11" x14ac:dyDescent="0.25">
      <c r="A321" t="s">
        <v>732</v>
      </c>
      <c r="B321" s="2" t="s">
        <v>50</v>
      </c>
      <c r="C321" s="4" t="s">
        <v>136</v>
      </c>
      <c r="D321" t="s">
        <v>125</v>
      </c>
      <c r="E321" t="s">
        <v>107</v>
      </c>
      <c r="F321" s="4" t="s">
        <v>399</v>
      </c>
      <c r="G321" s="4" t="s">
        <v>400</v>
      </c>
      <c r="H321">
        <v>2029</v>
      </c>
      <c r="I321">
        <v>17.600000000000001</v>
      </c>
      <c r="K321" t="s">
        <v>77</v>
      </c>
    </row>
    <row r="322" spans="1:11" x14ac:dyDescent="0.25">
      <c r="A322" t="s">
        <v>733</v>
      </c>
      <c r="B322" s="2" t="s">
        <v>51</v>
      </c>
      <c r="C322" s="4" t="s">
        <v>136</v>
      </c>
      <c r="D322" t="s">
        <v>125</v>
      </c>
      <c r="E322" t="s">
        <v>107</v>
      </c>
      <c r="F322" s="4" t="s">
        <v>399</v>
      </c>
      <c r="G322" s="4" t="s">
        <v>400</v>
      </c>
      <c r="H322">
        <v>2029</v>
      </c>
      <c r="I322">
        <v>11.05</v>
      </c>
      <c r="K322" t="s">
        <v>77</v>
      </c>
    </row>
    <row r="323" spans="1:11" x14ac:dyDescent="0.25">
      <c r="A323" t="s">
        <v>734</v>
      </c>
      <c r="B323" s="2" t="s">
        <v>52</v>
      </c>
      <c r="C323" s="4" t="s">
        <v>136</v>
      </c>
      <c r="D323" t="s">
        <v>125</v>
      </c>
      <c r="E323" t="s">
        <v>107</v>
      </c>
      <c r="F323" s="4" t="s">
        <v>399</v>
      </c>
      <c r="G323" s="4" t="s">
        <v>400</v>
      </c>
      <c r="H323">
        <v>2029</v>
      </c>
      <c r="I323">
        <v>18.600000000000001</v>
      </c>
      <c r="K323" t="s">
        <v>77</v>
      </c>
    </row>
    <row r="324" spans="1:11" x14ac:dyDescent="0.25">
      <c r="A324" t="s">
        <v>735</v>
      </c>
      <c r="B324" s="2" t="s">
        <v>53</v>
      </c>
      <c r="C324" s="4" t="s">
        <v>136</v>
      </c>
      <c r="D324" t="s">
        <v>126</v>
      </c>
      <c r="E324" t="s">
        <v>108</v>
      </c>
      <c r="F324" s="4" t="s">
        <v>399</v>
      </c>
      <c r="G324" s="4" t="s">
        <v>400</v>
      </c>
      <c r="H324">
        <v>2029</v>
      </c>
      <c r="I324">
        <v>3.52</v>
      </c>
      <c r="K324" t="s">
        <v>77</v>
      </c>
    </row>
    <row r="325" spans="1:11" x14ac:dyDescent="0.25">
      <c r="A325" t="s">
        <v>736</v>
      </c>
      <c r="B325" s="2" t="s">
        <v>54</v>
      </c>
      <c r="C325" s="4" t="s">
        <v>136</v>
      </c>
      <c r="D325" t="s">
        <v>134</v>
      </c>
      <c r="E325" t="s">
        <v>109</v>
      </c>
      <c r="F325" s="4" t="s">
        <v>399</v>
      </c>
      <c r="G325" s="4" t="s">
        <v>400</v>
      </c>
      <c r="H325">
        <v>2029</v>
      </c>
      <c r="I325">
        <v>55.22</v>
      </c>
      <c r="K325" t="s">
        <v>77</v>
      </c>
    </row>
    <row r="326" spans="1:11" x14ac:dyDescent="0.25">
      <c r="A326" t="s">
        <v>737</v>
      </c>
      <c r="B326" s="2" t="s">
        <v>55</v>
      </c>
      <c r="C326" s="4" t="s">
        <v>136</v>
      </c>
      <c r="D326" t="s">
        <v>129</v>
      </c>
      <c r="E326" t="s">
        <v>110</v>
      </c>
      <c r="F326" s="4" t="s">
        <v>399</v>
      </c>
      <c r="G326" s="4" t="s">
        <v>400</v>
      </c>
      <c r="H326">
        <v>2029</v>
      </c>
      <c r="I326">
        <v>1.93</v>
      </c>
      <c r="K326" t="s">
        <v>77</v>
      </c>
    </row>
    <row r="327" spans="1:11" x14ac:dyDescent="0.25">
      <c r="A327" t="s">
        <v>738</v>
      </c>
      <c r="B327" s="2" t="s">
        <v>56</v>
      </c>
      <c r="C327" s="4" t="s">
        <v>136</v>
      </c>
      <c r="D327" t="s">
        <v>125</v>
      </c>
      <c r="E327" t="s">
        <v>99</v>
      </c>
      <c r="F327" s="4" t="s">
        <v>399</v>
      </c>
      <c r="G327" s="4" t="s">
        <v>400</v>
      </c>
      <c r="H327">
        <v>2029</v>
      </c>
      <c r="I327">
        <v>10</v>
      </c>
      <c r="K327" t="s">
        <v>77</v>
      </c>
    </row>
    <row r="328" spans="1:11" x14ac:dyDescent="0.25">
      <c r="A328" t="s">
        <v>739</v>
      </c>
      <c r="B328" s="2" t="s">
        <v>59</v>
      </c>
      <c r="C328" s="4" t="s">
        <v>136</v>
      </c>
      <c r="D328" t="s">
        <v>125</v>
      </c>
      <c r="E328" t="s">
        <v>114</v>
      </c>
      <c r="F328" s="4" t="s">
        <v>399</v>
      </c>
      <c r="G328" s="4" t="s">
        <v>400</v>
      </c>
      <c r="H328">
        <v>2029</v>
      </c>
      <c r="I328">
        <v>70.2</v>
      </c>
      <c r="K328" t="s">
        <v>77</v>
      </c>
    </row>
    <row r="329" spans="1:11" x14ac:dyDescent="0.25">
      <c r="A329" t="s">
        <v>740</v>
      </c>
      <c r="B329" s="2" t="s">
        <v>60</v>
      </c>
      <c r="C329" s="4" t="s">
        <v>136</v>
      </c>
      <c r="D329" t="s">
        <v>125</v>
      </c>
      <c r="E329" t="s">
        <v>115</v>
      </c>
      <c r="F329" s="4" t="s">
        <v>399</v>
      </c>
      <c r="G329" s="4" t="s">
        <v>400</v>
      </c>
      <c r="H329">
        <v>2029</v>
      </c>
      <c r="I329">
        <v>72.83</v>
      </c>
      <c r="K329" t="s">
        <v>77</v>
      </c>
    </row>
    <row r="330" spans="1:11" x14ac:dyDescent="0.25">
      <c r="A330" t="s">
        <v>741</v>
      </c>
      <c r="B330" s="2" t="s">
        <v>61</v>
      </c>
      <c r="C330" s="4" t="s">
        <v>136</v>
      </c>
      <c r="D330" t="s">
        <v>125</v>
      </c>
      <c r="E330" t="s">
        <v>116</v>
      </c>
      <c r="F330" s="4" t="s">
        <v>399</v>
      </c>
      <c r="G330" s="4" t="s">
        <v>400</v>
      </c>
      <c r="H330">
        <v>2029</v>
      </c>
      <c r="I330">
        <v>80</v>
      </c>
      <c r="K330" t="s">
        <v>77</v>
      </c>
    </row>
    <row r="331" spans="1:11" x14ac:dyDescent="0.25">
      <c r="A331" t="s">
        <v>742</v>
      </c>
      <c r="B331" s="2" t="s">
        <v>62</v>
      </c>
      <c r="C331" s="4" t="s">
        <v>136</v>
      </c>
      <c r="D331" t="s">
        <v>125</v>
      </c>
      <c r="E331" t="s">
        <v>117</v>
      </c>
      <c r="F331" s="4" t="s">
        <v>399</v>
      </c>
      <c r="G331" s="4" t="s">
        <v>400</v>
      </c>
      <c r="H331">
        <v>2029</v>
      </c>
      <c r="I331">
        <v>5.3</v>
      </c>
      <c r="K331" t="s">
        <v>77</v>
      </c>
    </row>
    <row r="332" spans="1:11" x14ac:dyDescent="0.25">
      <c r="A332" t="s">
        <v>743</v>
      </c>
      <c r="B332" s="2" t="s">
        <v>63</v>
      </c>
      <c r="C332" s="4" t="s">
        <v>136</v>
      </c>
      <c r="D332" t="s">
        <v>125</v>
      </c>
      <c r="E332" t="s">
        <v>118</v>
      </c>
      <c r="F332" s="4" t="s">
        <v>399</v>
      </c>
      <c r="G332" s="4" t="s">
        <v>400</v>
      </c>
      <c r="H332">
        <v>2029</v>
      </c>
      <c r="I332">
        <v>100</v>
      </c>
      <c r="K332" t="s">
        <v>77</v>
      </c>
    </row>
    <row r="333" spans="1:11" x14ac:dyDescent="0.25">
      <c r="A333" t="s">
        <v>744</v>
      </c>
      <c r="B333" s="2" t="s">
        <v>64</v>
      </c>
      <c r="C333" s="4" t="s">
        <v>136</v>
      </c>
      <c r="D333" t="s">
        <v>125</v>
      </c>
      <c r="E333" t="s">
        <v>78</v>
      </c>
      <c r="F333" s="4" t="s">
        <v>399</v>
      </c>
      <c r="G333" s="4" t="s">
        <v>400</v>
      </c>
      <c r="H333">
        <v>2029</v>
      </c>
      <c r="I333">
        <v>100</v>
      </c>
      <c r="K333" t="s">
        <v>77</v>
      </c>
    </row>
    <row r="334" spans="1:11" x14ac:dyDescent="0.25">
      <c r="A334" t="s">
        <v>745</v>
      </c>
      <c r="B334" s="2" t="s">
        <v>65</v>
      </c>
      <c r="C334" s="4" t="s">
        <v>136</v>
      </c>
      <c r="D334" t="s">
        <v>125</v>
      </c>
      <c r="E334" t="s">
        <v>119</v>
      </c>
      <c r="F334" s="4" t="s">
        <v>399</v>
      </c>
      <c r="G334" s="4" t="s">
        <v>400</v>
      </c>
      <c r="H334">
        <v>2029</v>
      </c>
      <c r="I334">
        <v>31.3</v>
      </c>
      <c r="K334" t="s">
        <v>77</v>
      </c>
    </row>
    <row r="335" spans="1:11" x14ac:dyDescent="0.25">
      <c r="A335" t="s">
        <v>746</v>
      </c>
      <c r="B335" s="2" t="s">
        <v>66</v>
      </c>
      <c r="C335" s="4" t="s">
        <v>136</v>
      </c>
      <c r="D335" t="s">
        <v>125</v>
      </c>
      <c r="E335" t="s">
        <v>78</v>
      </c>
      <c r="F335" s="4" t="s">
        <v>399</v>
      </c>
      <c r="G335" s="4" t="s">
        <v>400</v>
      </c>
      <c r="H335">
        <v>2029</v>
      </c>
      <c r="I335">
        <v>7.9</v>
      </c>
      <c r="K335" t="s">
        <v>77</v>
      </c>
    </row>
    <row r="336" spans="1:11" x14ac:dyDescent="0.25">
      <c r="A336" t="s">
        <v>747</v>
      </c>
      <c r="B336" s="2" t="s">
        <v>67</v>
      </c>
      <c r="C336" s="4" t="s">
        <v>136</v>
      </c>
      <c r="D336" t="s">
        <v>125</v>
      </c>
      <c r="E336" t="s">
        <v>120</v>
      </c>
      <c r="F336" s="4" t="s">
        <v>399</v>
      </c>
      <c r="G336" s="4" t="s">
        <v>400</v>
      </c>
      <c r="H336">
        <v>2029</v>
      </c>
      <c r="I336">
        <v>95</v>
      </c>
      <c r="K336" t="s">
        <v>77</v>
      </c>
    </row>
    <row r="337" spans="1:11" x14ac:dyDescent="0.25">
      <c r="A337" t="s">
        <v>748</v>
      </c>
      <c r="B337" s="2" t="s">
        <v>68</v>
      </c>
      <c r="C337" s="4" t="s">
        <v>136</v>
      </c>
      <c r="D337" t="s">
        <v>125</v>
      </c>
      <c r="E337" t="s">
        <v>120</v>
      </c>
      <c r="F337" s="4" t="s">
        <v>399</v>
      </c>
      <c r="G337" s="4" t="s">
        <v>400</v>
      </c>
      <c r="H337">
        <v>2029</v>
      </c>
      <c r="I337">
        <v>64.59</v>
      </c>
      <c r="K337" t="s">
        <v>77</v>
      </c>
    </row>
    <row r="338" spans="1:11" x14ac:dyDescent="0.25">
      <c r="A338" t="s">
        <v>749</v>
      </c>
      <c r="B338" s="2" t="s">
        <v>69</v>
      </c>
      <c r="C338" s="4" t="s">
        <v>136</v>
      </c>
      <c r="D338" t="s">
        <v>125</v>
      </c>
      <c r="E338" t="s">
        <v>121</v>
      </c>
      <c r="F338" s="4" t="s">
        <v>399</v>
      </c>
      <c r="G338" s="4" t="s">
        <v>400</v>
      </c>
      <c r="H338">
        <v>2029</v>
      </c>
      <c r="I338">
        <v>27</v>
      </c>
      <c r="K338" t="s">
        <v>77</v>
      </c>
    </row>
    <row r="339" spans="1:11" x14ac:dyDescent="0.25">
      <c r="A339" t="s">
        <v>750</v>
      </c>
      <c r="B339" s="2" t="s">
        <v>70</v>
      </c>
      <c r="C339" s="4" t="s">
        <v>136</v>
      </c>
      <c r="D339" t="s">
        <v>125</v>
      </c>
      <c r="E339" t="s">
        <v>122</v>
      </c>
      <c r="F339" s="4" t="s">
        <v>399</v>
      </c>
      <c r="G339" s="4" t="s">
        <v>400</v>
      </c>
      <c r="H339">
        <v>2029</v>
      </c>
      <c r="I339">
        <v>40</v>
      </c>
      <c r="K339" t="s">
        <v>77</v>
      </c>
    </row>
    <row r="340" spans="1:11" x14ac:dyDescent="0.25">
      <c r="A340" t="s">
        <v>751</v>
      </c>
      <c r="B340" s="2" t="s">
        <v>71</v>
      </c>
      <c r="C340" s="4" t="s">
        <v>136</v>
      </c>
      <c r="D340" t="s">
        <v>125</v>
      </c>
      <c r="E340" t="s">
        <v>123</v>
      </c>
      <c r="F340" s="4" t="s">
        <v>399</v>
      </c>
      <c r="G340" s="4" t="s">
        <v>400</v>
      </c>
      <c r="H340">
        <v>2029</v>
      </c>
      <c r="I340">
        <v>66.92</v>
      </c>
      <c r="K340" t="s">
        <v>77</v>
      </c>
    </row>
    <row r="341" spans="1:11" x14ac:dyDescent="0.25">
      <c r="A341" t="s">
        <v>752</v>
      </c>
      <c r="B341" s="2" t="s">
        <v>72</v>
      </c>
      <c r="C341" s="4" t="s">
        <v>136</v>
      </c>
      <c r="D341" t="s">
        <v>125</v>
      </c>
      <c r="E341" t="s">
        <v>124</v>
      </c>
      <c r="F341" s="4" t="s">
        <v>399</v>
      </c>
      <c r="G341" s="4" t="s">
        <v>400</v>
      </c>
      <c r="H341">
        <v>2029</v>
      </c>
      <c r="I341">
        <v>70</v>
      </c>
      <c r="K341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DEF1-CD7C-4D47-8018-238DF40B641D}">
  <dimension ref="A1:K356"/>
  <sheetViews>
    <sheetView workbookViewId="0"/>
  </sheetViews>
  <sheetFormatPr baseColWidth="10" defaultColWidth="9.140625" defaultRowHeight="15" x14ac:dyDescent="0.25"/>
  <cols>
    <col min="1" max="1" width="18.140625" bestFit="1" customWidth="1"/>
    <col min="2" max="2" width="126" style="1" bestFit="1" customWidth="1"/>
    <col min="5" max="5" width="79.42578125" bestFit="1" customWidth="1"/>
    <col min="7" max="7" width="18.85546875" bestFit="1" customWidth="1"/>
  </cols>
  <sheetData>
    <row r="1" spans="1:11" x14ac:dyDescent="0.25">
      <c r="A1" t="s">
        <v>403</v>
      </c>
      <c r="B1" s="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K1" t="s">
        <v>412</v>
      </c>
    </row>
    <row r="2" spans="1:11" x14ac:dyDescent="0.25">
      <c r="A2" t="str">
        <f>_xlfn.CONCAT(VLOOKUP(B2,Indicateurs!$A:$B,2,0),"-",VLOOKUP(C2,Zones!$A:$B,2,0),"-",_xlfn.CONCAT(IF(K2&lt;&gt;"",VLOOKUP(K2,Desagregations!$A:$B,2,0),""),IF(L2&lt;&gt;"","_",""),IF(L2&lt;&gt;"",VLOOKUP(L2,Desagregations!$A:$B,2,0),""),IF(M2&lt;&gt;"","_",""),IF(M2&lt;&gt;"",VLOOKUP(M2,Desagregations!$A:$B,2,0),""),IF(N2&lt;&gt;"","_",""),IF(N2&lt;&gt;"",VLOOKUP(N2,Desagregations!$A:$B,2,0),""),IF(O2&lt;&gt;"","_",""),IF(O2&lt;&gt;"",VLOOKUP(O2,Desagregations!$A:$B,2,0),""),IF(P2&lt;&gt;"","_",""),IF(P2&lt;&gt;"",VLOOKUP(P2,Desagregations!$A:$B,2,0),"")),"-",VLOOKUP(D2,Unites!$A:$B,2,0),"-",VLOOKUP(E2,Sources!$A:$B,2,0),"-",VLOOKUP(F2,CommentaireValeurIndicateurs!$A:$B,2,0),"-",VLOOKUP(G2,NatureDonnees!$A:$B,2,0),"-",VLOOKUP(H2,Periodes!$A:$B,2,0))</f>
        <v>1246-1-6-4-4-3-1-26</v>
      </c>
      <c r="B2" s="2" t="s">
        <v>2</v>
      </c>
      <c r="C2" s="4" t="s">
        <v>136</v>
      </c>
      <c r="D2" t="s">
        <v>125</v>
      </c>
      <c r="E2" t="s">
        <v>78</v>
      </c>
      <c r="F2" s="4" t="s">
        <v>399</v>
      </c>
      <c r="G2" s="4" t="s">
        <v>400</v>
      </c>
      <c r="H2">
        <v>2025</v>
      </c>
      <c r="I2">
        <v>39.340000000000003</v>
      </c>
      <c r="K2" t="s">
        <v>77</v>
      </c>
    </row>
    <row r="3" spans="1:11" x14ac:dyDescent="0.25">
      <c r="A3" t="str">
        <f>_xlfn.CONCAT(VLOOKUP(B3,Indicateurs!$A:$B,2,0),"-",VLOOKUP(C3,Zones!$A:$B,2,0),"-",_xlfn.CONCAT(IF(K3&lt;&gt;"",VLOOKUP(K3,Desagregations!$A:$B,2,0),""),IF(L3&lt;&gt;"","_",""),IF(L3&lt;&gt;"",VLOOKUP(L3,Desagregations!$A:$B,2,0),""),IF(M3&lt;&gt;"","_",""),IF(M3&lt;&gt;"",VLOOKUP(M3,Desagregations!$A:$B,2,0),""),IF(N3&lt;&gt;"","_",""),IF(N3&lt;&gt;"",VLOOKUP(N3,Desagregations!$A:$B,2,0),""),IF(O3&lt;&gt;"","_",""),IF(O3&lt;&gt;"",VLOOKUP(O3,Desagregations!$A:$B,2,0),""),IF(P3&lt;&gt;"","_",""),IF(P3&lt;&gt;"",VLOOKUP(P3,Desagregations!$A:$B,2,0),"")),"-",VLOOKUP(D3,Unites!$A:$B,2,0),"-",VLOOKUP(E3,Sources!$A:$B,2,0),"-",VLOOKUP(F3,CommentaireValeurIndicateurs!$A:$B,2,0),"-",VLOOKUP(G3,NatureDonnees!$A:$B,2,0),"-",VLOOKUP(H3,Periodes!$A:$B,2,0))</f>
        <v>1247-1-6-4-4-3-1-26</v>
      </c>
      <c r="B3" s="2" t="s">
        <v>3</v>
      </c>
      <c r="C3" s="4" t="s">
        <v>136</v>
      </c>
      <c r="D3" t="s">
        <v>125</v>
      </c>
      <c r="E3" t="s">
        <v>78</v>
      </c>
      <c r="F3" s="4" t="s">
        <v>399</v>
      </c>
      <c r="G3" s="4" t="s">
        <v>400</v>
      </c>
      <c r="H3">
        <v>2025</v>
      </c>
      <c r="I3">
        <v>68.2</v>
      </c>
      <c r="K3" t="s">
        <v>77</v>
      </c>
    </row>
    <row r="4" spans="1:11" x14ac:dyDescent="0.25">
      <c r="A4" t="str">
        <f>_xlfn.CONCAT(VLOOKUP(B4,Indicateurs!$A:$B,2,0),"-",VLOOKUP(C4,Zones!$A:$B,2,0),"-",_xlfn.CONCAT(IF(K4&lt;&gt;"",VLOOKUP(K4,Desagregations!$A:$B,2,0),""),IF(L4&lt;&gt;"","_",""),IF(L4&lt;&gt;"",VLOOKUP(L4,Desagregations!$A:$B,2,0),""),IF(M4&lt;&gt;"","_",""),IF(M4&lt;&gt;"",VLOOKUP(M4,Desagregations!$A:$B,2,0),""),IF(N4&lt;&gt;"","_",""),IF(N4&lt;&gt;"",VLOOKUP(N4,Desagregations!$A:$B,2,0),""),IF(O4&lt;&gt;"","_",""),IF(O4&lt;&gt;"",VLOOKUP(O4,Desagregations!$A:$B,2,0),""),IF(P4&lt;&gt;"","_",""),IF(P4&lt;&gt;"",VLOOKUP(P4,Desagregations!$A:$B,2,0),"")),"-",VLOOKUP(D4,Unites!$A:$B,2,0),"-",VLOOKUP(E4,Sources!$A:$B,2,0),"-",VLOOKUP(F4,CommentaireValeurIndicateurs!$A:$B,2,0),"-",VLOOKUP(G4,NatureDonnees!$A:$B,2,0),"-",VLOOKUP(H4,Periodes!$A:$B,2,0))</f>
        <v>1248-1-6-5-5-3-1-26</v>
      </c>
      <c r="B4" s="2" t="s">
        <v>4</v>
      </c>
      <c r="C4" s="4" t="s">
        <v>136</v>
      </c>
      <c r="D4" t="s">
        <v>126</v>
      </c>
      <c r="E4" t="s">
        <v>79</v>
      </c>
      <c r="F4" s="4" t="s">
        <v>399</v>
      </c>
      <c r="G4" s="4" t="s">
        <v>400</v>
      </c>
      <c r="H4">
        <v>2025</v>
      </c>
      <c r="I4">
        <v>65.92</v>
      </c>
      <c r="K4" t="s">
        <v>77</v>
      </c>
    </row>
    <row r="5" spans="1:11" x14ac:dyDescent="0.25">
      <c r="A5" t="str">
        <f>_xlfn.CONCAT(VLOOKUP(B5,Indicateurs!$A:$B,2,0),"-",VLOOKUP(C5,Zones!$A:$B,2,0),"-",_xlfn.CONCAT(IF(K5&lt;&gt;"",VLOOKUP(K5,Desagregations!$A:$B,2,0),""),IF(L5&lt;&gt;"","_",""),IF(L5&lt;&gt;"",VLOOKUP(L5,Desagregations!$A:$B,2,0),""),IF(M5&lt;&gt;"","_",""),IF(M5&lt;&gt;"",VLOOKUP(M5,Desagregations!$A:$B,2,0),""),IF(N5&lt;&gt;"","_",""),IF(N5&lt;&gt;"",VLOOKUP(N5,Desagregations!$A:$B,2,0),""),IF(O5&lt;&gt;"","_",""),IF(O5&lt;&gt;"",VLOOKUP(O5,Desagregations!$A:$B,2,0),""),IF(P5&lt;&gt;"","_",""),IF(P5&lt;&gt;"",VLOOKUP(P5,Desagregations!$A:$B,2,0),"")),"-",VLOOKUP(D5,Unites!$A:$B,2,0),"-",VLOOKUP(E5,Sources!$A:$B,2,0),"-",VLOOKUP(F5,CommentaireValeurIndicateurs!$A:$B,2,0),"-",VLOOKUP(G5,NatureDonnees!$A:$B,2,0),"-",VLOOKUP(H5,Periodes!$A:$B,2,0))</f>
        <v>1249-1-6-4-4-3-1-26</v>
      </c>
      <c r="B5" s="2" t="s">
        <v>5</v>
      </c>
      <c r="C5" s="4" t="s">
        <v>136</v>
      </c>
      <c r="D5" t="s">
        <v>125</v>
      </c>
      <c r="E5" t="s">
        <v>78</v>
      </c>
      <c r="F5" s="4" t="s">
        <v>399</v>
      </c>
      <c r="G5" s="4" t="s">
        <v>400</v>
      </c>
      <c r="H5">
        <v>2025</v>
      </c>
      <c r="I5">
        <v>82.5</v>
      </c>
      <c r="K5" t="s">
        <v>77</v>
      </c>
    </row>
    <row r="6" spans="1:11" x14ac:dyDescent="0.25">
      <c r="A6" t="str">
        <f>_xlfn.CONCAT(VLOOKUP(B6,Indicateurs!$A:$B,2,0),"-",VLOOKUP(C6,Zones!$A:$B,2,0),"-",_xlfn.CONCAT(IF(K6&lt;&gt;"",VLOOKUP(K6,Desagregations!$A:$B,2,0),""),IF(L6&lt;&gt;"","_",""),IF(L6&lt;&gt;"",VLOOKUP(L6,Desagregations!$A:$B,2,0),""),IF(M6&lt;&gt;"","_",""),IF(M6&lt;&gt;"",VLOOKUP(M6,Desagregations!$A:$B,2,0),""),IF(N6&lt;&gt;"","_",""),IF(N6&lt;&gt;"",VLOOKUP(N6,Desagregations!$A:$B,2,0),""),IF(O6&lt;&gt;"","_",""),IF(O6&lt;&gt;"",VLOOKUP(O6,Desagregations!$A:$B,2,0),""),IF(P6&lt;&gt;"","_",""),IF(P6&lt;&gt;"",VLOOKUP(P6,Desagregations!$A:$B,2,0),"")),"-",VLOOKUP(D6,Unites!$A:$B,2,0),"-",VLOOKUP(E6,Sources!$A:$B,2,0),"-",VLOOKUP(F6,CommentaireValeurIndicateurs!$A:$B,2,0),"-",VLOOKUP(G6,NatureDonnees!$A:$B,2,0),"-",VLOOKUP(H6,Periodes!$A:$B,2,0))</f>
        <v>1250-1-6-4-6-3-1-26</v>
      </c>
      <c r="B6" s="2" t="s">
        <v>6</v>
      </c>
      <c r="C6" s="4" t="s">
        <v>136</v>
      </c>
      <c r="D6" t="s">
        <v>125</v>
      </c>
      <c r="E6" t="s">
        <v>80</v>
      </c>
      <c r="F6" s="4" t="s">
        <v>399</v>
      </c>
      <c r="G6" s="4" t="s">
        <v>400</v>
      </c>
      <c r="H6">
        <v>2025</v>
      </c>
      <c r="I6">
        <v>16.5</v>
      </c>
      <c r="K6" t="s">
        <v>77</v>
      </c>
    </row>
    <row r="7" spans="1:11" x14ac:dyDescent="0.25">
      <c r="A7" t="str">
        <f>_xlfn.CONCAT(VLOOKUP(B7,Indicateurs!$A:$B,2,0),"-",VLOOKUP(C7,Zones!$A:$B,2,0),"-",_xlfn.CONCAT(IF(K7&lt;&gt;"",VLOOKUP(K7,Desagregations!$A:$B,2,0),""),IF(L7&lt;&gt;"","_",""),IF(L7&lt;&gt;"",VLOOKUP(L7,Desagregations!$A:$B,2,0),""),IF(M7&lt;&gt;"","_",""),IF(M7&lt;&gt;"",VLOOKUP(M7,Desagregations!$A:$B,2,0),""),IF(N7&lt;&gt;"","_",""),IF(N7&lt;&gt;"",VLOOKUP(N7,Desagregations!$A:$B,2,0),""),IF(O7&lt;&gt;"","_",""),IF(O7&lt;&gt;"",VLOOKUP(O7,Desagregations!$A:$B,2,0),""),IF(P7&lt;&gt;"","_",""),IF(P7&lt;&gt;"",VLOOKUP(P7,Desagregations!$A:$B,2,0),"")),"-",VLOOKUP(D7,Unites!$A:$B,2,0),"-",VLOOKUP(E7,Sources!$A:$B,2,0),"-",VLOOKUP(F7,CommentaireValeurIndicateurs!$A:$B,2,0),"-",VLOOKUP(G7,NatureDonnees!$A:$B,2,0),"-",VLOOKUP(H7,Periodes!$A:$B,2,0))</f>
        <v>1251-1-6-4-7-3-1-26</v>
      </c>
      <c r="B7" s="2" t="s">
        <v>7</v>
      </c>
      <c r="C7" s="4" t="s">
        <v>136</v>
      </c>
      <c r="D7" t="s">
        <v>125</v>
      </c>
      <c r="E7" t="s">
        <v>81</v>
      </c>
      <c r="F7" s="4" t="s">
        <v>399</v>
      </c>
      <c r="G7" s="4" t="s">
        <v>400</v>
      </c>
      <c r="H7">
        <v>2025</v>
      </c>
      <c r="I7">
        <v>54.49</v>
      </c>
      <c r="K7" t="s">
        <v>77</v>
      </c>
    </row>
    <row r="8" spans="1:11" x14ac:dyDescent="0.25">
      <c r="A8" t="str">
        <f>_xlfn.CONCAT(VLOOKUP(B8,Indicateurs!$A:$B,2,0),"-",VLOOKUP(C8,Zones!$A:$B,2,0),"-",_xlfn.CONCAT(IF(K8&lt;&gt;"",VLOOKUP(K8,Desagregations!$A:$B,2,0),""),IF(L8&lt;&gt;"","_",""),IF(L8&lt;&gt;"",VLOOKUP(L8,Desagregations!$A:$B,2,0),""),IF(M8&lt;&gt;"","_",""),IF(M8&lt;&gt;"",VLOOKUP(M8,Desagregations!$A:$B,2,0),""),IF(N8&lt;&gt;"","_",""),IF(N8&lt;&gt;"",VLOOKUP(N8,Desagregations!$A:$B,2,0),""),IF(O8&lt;&gt;"","_",""),IF(O8&lt;&gt;"",VLOOKUP(O8,Desagregations!$A:$B,2,0),""),IF(P8&lt;&gt;"","_",""),IF(P8&lt;&gt;"",VLOOKUP(P8,Desagregations!$A:$B,2,0),"")),"-",VLOOKUP(D8,Unites!$A:$B,2,0),"-",VLOOKUP(E8,Sources!$A:$B,2,0),"-",VLOOKUP(F8,CommentaireValeurIndicateurs!$A:$B,2,0),"-",VLOOKUP(G8,NatureDonnees!$A:$B,2,0),"-",VLOOKUP(H8,Periodes!$A:$B,2,0))</f>
        <v>1252-1-6-4-8-3-1-26</v>
      </c>
      <c r="B8" s="2" t="s">
        <v>8</v>
      </c>
      <c r="C8" s="4" t="s">
        <v>136</v>
      </c>
      <c r="D8" t="s">
        <v>125</v>
      </c>
      <c r="E8" t="s">
        <v>82</v>
      </c>
      <c r="F8" s="4" t="s">
        <v>399</v>
      </c>
      <c r="G8" s="4" t="s">
        <v>400</v>
      </c>
      <c r="H8">
        <v>2025</v>
      </c>
      <c r="I8">
        <v>30.95</v>
      </c>
      <c r="K8" t="s">
        <v>77</v>
      </c>
    </row>
    <row r="9" spans="1:11" x14ac:dyDescent="0.25">
      <c r="A9" t="str">
        <f>_xlfn.CONCAT(VLOOKUP(B9,Indicateurs!$A:$B,2,0),"-",VLOOKUP(C9,Zones!$A:$B,2,0),"-",_xlfn.CONCAT(IF(K9&lt;&gt;"",VLOOKUP(K9,Desagregations!$A:$B,2,0),""),IF(L9&lt;&gt;"","_",""),IF(L9&lt;&gt;"",VLOOKUP(L9,Desagregations!$A:$B,2,0),""),IF(M9&lt;&gt;"","_",""),IF(M9&lt;&gt;"",VLOOKUP(M9,Desagregations!$A:$B,2,0),""),IF(N9&lt;&gt;"","_",""),IF(N9&lt;&gt;"",VLOOKUP(N9,Desagregations!$A:$B,2,0),""),IF(O9&lt;&gt;"","_",""),IF(O9&lt;&gt;"",VLOOKUP(O9,Desagregations!$A:$B,2,0),""),IF(P9&lt;&gt;"","_",""),IF(P9&lt;&gt;"",VLOOKUP(P9,Desagregations!$A:$B,2,0),"")),"-",VLOOKUP(D9,Unites!$A:$B,2,0),"-",VLOOKUP(E9,Sources!$A:$B,2,0),"-",VLOOKUP(F9,CommentaireValeurIndicateurs!$A:$B,2,0),"-",VLOOKUP(G9,NatureDonnees!$A:$B,2,0),"-",VLOOKUP(H9,Periodes!$A:$B,2,0))</f>
        <v>1253-1-6-4-8-3-1-26</v>
      </c>
      <c r="B9" s="2" t="s">
        <v>9</v>
      </c>
      <c r="C9" s="4" t="s">
        <v>136</v>
      </c>
      <c r="D9" t="s">
        <v>125</v>
      </c>
      <c r="E9" t="s">
        <v>82</v>
      </c>
      <c r="F9" s="4" t="s">
        <v>399</v>
      </c>
      <c r="G9" s="4" t="s">
        <v>400</v>
      </c>
      <c r="H9">
        <v>2025</v>
      </c>
      <c r="I9">
        <v>20</v>
      </c>
      <c r="K9" t="s">
        <v>77</v>
      </c>
    </row>
    <row r="10" spans="1:11" x14ac:dyDescent="0.25">
      <c r="A10" t="str">
        <f>_xlfn.CONCAT(VLOOKUP(B10,Indicateurs!$A:$B,2,0),"-",VLOOKUP(C10,Zones!$A:$B,2,0),"-",_xlfn.CONCAT(IF(K10&lt;&gt;"",VLOOKUP(K10,Desagregations!$A:$B,2,0),""),IF(L10&lt;&gt;"","_",""),IF(L10&lt;&gt;"",VLOOKUP(L10,Desagregations!$A:$B,2,0),""),IF(M10&lt;&gt;"","_",""),IF(M10&lt;&gt;"",VLOOKUP(M10,Desagregations!$A:$B,2,0),""),IF(N10&lt;&gt;"","_",""),IF(N10&lt;&gt;"",VLOOKUP(N10,Desagregations!$A:$B,2,0),""),IF(O10&lt;&gt;"","_",""),IF(O10&lt;&gt;"",VLOOKUP(O10,Desagregations!$A:$B,2,0),""),IF(P10&lt;&gt;"","_",""),IF(P10&lt;&gt;"",VLOOKUP(P10,Desagregations!$A:$B,2,0),"")),"-",VLOOKUP(D10,Unites!$A:$B,2,0),"-",VLOOKUP(E10,Sources!$A:$B,2,0),"-",VLOOKUP(F10,CommentaireValeurIndicateurs!$A:$B,2,0),"-",VLOOKUP(G10,NatureDonnees!$A:$B,2,0),"-",VLOOKUP(H10,Periodes!$A:$B,2,0))</f>
        <v>1254-1-6-4-4-3-1-26</v>
      </c>
      <c r="B10" s="2" t="s">
        <v>10</v>
      </c>
      <c r="C10" s="4" t="s">
        <v>136</v>
      </c>
      <c r="D10" t="s">
        <v>125</v>
      </c>
      <c r="E10" t="s">
        <v>78</v>
      </c>
      <c r="F10" s="4" t="s">
        <v>399</v>
      </c>
      <c r="G10" s="4" t="s">
        <v>400</v>
      </c>
      <c r="H10">
        <v>2025</v>
      </c>
      <c r="I10">
        <v>13.4</v>
      </c>
      <c r="K10" t="s">
        <v>77</v>
      </c>
    </row>
    <row r="11" spans="1:11" x14ac:dyDescent="0.25">
      <c r="A11" t="str">
        <f>_xlfn.CONCAT(VLOOKUP(B11,Indicateurs!$A:$B,2,0),"-",VLOOKUP(C11,Zones!$A:$B,2,0),"-",_xlfn.CONCAT(IF(K11&lt;&gt;"",VLOOKUP(K11,Desagregations!$A:$B,2,0),""),IF(L11&lt;&gt;"","_",""),IF(L11&lt;&gt;"",VLOOKUP(L11,Desagregations!$A:$B,2,0),""),IF(M11&lt;&gt;"","_",""),IF(M11&lt;&gt;"",VLOOKUP(M11,Desagregations!$A:$B,2,0),""),IF(N11&lt;&gt;"","_",""),IF(N11&lt;&gt;"",VLOOKUP(N11,Desagregations!$A:$B,2,0),""),IF(O11&lt;&gt;"","_",""),IF(O11&lt;&gt;"",VLOOKUP(O11,Desagregations!$A:$B,2,0),""),IF(P11&lt;&gt;"","_",""),IF(P11&lt;&gt;"",VLOOKUP(P11,Desagregations!$A:$B,2,0),"")),"-",VLOOKUP(D11,Unites!$A:$B,2,0),"-",VLOOKUP(E11,Sources!$A:$B,2,0),"-",VLOOKUP(F11,CommentaireValeurIndicateurs!$A:$B,2,0),"-",VLOOKUP(G11,NatureDonnees!$A:$B,2,0),"-",VLOOKUP(H11,Periodes!$A:$B,2,0))</f>
        <v>1255-1-6-4-4-3-1-26</v>
      </c>
      <c r="B11" s="2" t="s">
        <v>11</v>
      </c>
      <c r="C11" s="4" t="s">
        <v>136</v>
      </c>
      <c r="D11" t="s">
        <v>125</v>
      </c>
      <c r="E11" t="s">
        <v>78</v>
      </c>
      <c r="F11" s="4" t="s">
        <v>399</v>
      </c>
      <c r="G11" s="4" t="s">
        <v>400</v>
      </c>
      <c r="H11">
        <v>2025</v>
      </c>
      <c r="I11">
        <v>73.5</v>
      </c>
      <c r="K11" t="s">
        <v>77</v>
      </c>
    </row>
    <row r="12" spans="1:11" x14ac:dyDescent="0.25">
      <c r="A12" t="str">
        <f>_xlfn.CONCAT(VLOOKUP(B12,Indicateurs!$A:$B,2,0),"-",VLOOKUP(C12,Zones!$A:$B,2,0),"-",_xlfn.CONCAT(IF(K12&lt;&gt;"",VLOOKUP(K12,Desagregations!$A:$B,2,0),""),IF(L12&lt;&gt;"","_",""),IF(L12&lt;&gt;"",VLOOKUP(L12,Desagregations!$A:$B,2,0),""),IF(M12&lt;&gt;"","_",""),IF(M12&lt;&gt;"",VLOOKUP(M12,Desagregations!$A:$B,2,0),""),IF(N12&lt;&gt;"","_",""),IF(N12&lt;&gt;"",VLOOKUP(N12,Desagregations!$A:$B,2,0),""),IF(O12&lt;&gt;"","_",""),IF(O12&lt;&gt;"",VLOOKUP(O12,Desagregations!$A:$B,2,0),""),IF(P12&lt;&gt;"","_",""),IF(P12&lt;&gt;"",VLOOKUP(P12,Desagregations!$A:$B,2,0),"")),"-",VLOOKUP(D12,Unites!$A:$B,2,0),"-",VLOOKUP(E12,Sources!$A:$B,2,0),"-",VLOOKUP(F12,CommentaireValeurIndicateurs!$A:$B,2,0),"-",VLOOKUP(G12,NatureDonnees!$A:$B,2,0),"-",VLOOKUP(H12,Periodes!$A:$B,2,0))</f>
        <v>1256-1-6-4-9-3-1-26</v>
      </c>
      <c r="B12" s="2" t="s">
        <v>12</v>
      </c>
      <c r="C12" s="4" t="s">
        <v>136</v>
      </c>
      <c r="D12" s="4" t="s">
        <v>125</v>
      </c>
      <c r="E12" t="s">
        <v>83</v>
      </c>
      <c r="F12" s="4" t="s">
        <v>399</v>
      </c>
      <c r="G12" s="4" t="s">
        <v>400</v>
      </c>
      <c r="H12">
        <v>2025</v>
      </c>
      <c r="I12">
        <v>76</v>
      </c>
      <c r="K12" t="s">
        <v>77</v>
      </c>
    </row>
    <row r="13" spans="1:11" x14ac:dyDescent="0.25">
      <c r="A13" t="str">
        <f>_xlfn.CONCAT(VLOOKUP(B13,Indicateurs!$A:$B,2,0),"-",VLOOKUP(C13,Zones!$A:$B,2,0),"-",_xlfn.CONCAT(IF(K13&lt;&gt;"",VLOOKUP(K13,Desagregations!$A:$B,2,0),""),IF(L13&lt;&gt;"","_",""),IF(L13&lt;&gt;"",VLOOKUP(L13,Desagregations!$A:$B,2,0),""),IF(M13&lt;&gt;"","_",""),IF(M13&lt;&gt;"",VLOOKUP(M13,Desagregations!$A:$B,2,0),""),IF(N13&lt;&gt;"","_",""),IF(N13&lt;&gt;"",VLOOKUP(N13,Desagregations!$A:$B,2,0),""),IF(O13&lt;&gt;"","_",""),IF(O13&lt;&gt;"",VLOOKUP(O13,Desagregations!$A:$B,2,0),""),IF(P13&lt;&gt;"","_",""),IF(P13&lt;&gt;"",VLOOKUP(P13,Desagregations!$A:$B,2,0),"")),"-",VLOOKUP(D13,Unites!$A:$B,2,0),"-",VLOOKUP(E13,Sources!$A:$B,2,0),"-",VLOOKUP(F13,CommentaireValeurIndicateurs!$A:$B,2,0),"-",VLOOKUP(G13,NatureDonnees!$A:$B,2,0),"-",VLOOKUP(H13,Periodes!$A:$B,2,0))</f>
        <v>1257-1-6-6-10-3-1-26</v>
      </c>
      <c r="B13" s="2" t="s">
        <v>13</v>
      </c>
      <c r="C13" s="4" t="s">
        <v>136</v>
      </c>
      <c r="D13" t="s">
        <v>127</v>
      </c>
      <c r="E13" t="s">
        <v>84</v>
      </c>
      <c r="F13" s="4" t="s">
        <v>399</v>
      </c>
      <c r="G13" s="4" t="s">
        <v>400</v>
      </c>
      <c r="H13">
        <v>2025</v>
      </c>
      <c r="I13">
        <v>18</v>
      </c>
      <c r="K13" t="s">
        <v>77</v>
      </c>
    </row>
    <row r="14" spans="1:11" x14ac:dyDescent="0.25">
      <c r="A14" t="str">
        <f>_xlfn.CONCAT(VLOOKUP(B14,Indicateurs!$A:$B,2,0),"-",VLOOKUP(C14,Zones!$A:$B,2,0),"-",_xlfn.CONCAT(IF(K14&lt;&gt;"",VLOOKUP(K14,Desagregations!$A:$B,2,0),""),IF(L14&lt;&gt;"","_",""),IF(L14&lt;&gt;"",VLOOKUP(L14,Desagregations!$A:$B,2,0),""),IF(M14&lt;&gt;"","_",""),IF(M14&lt;&gt;"",VLOOKUP(M14,Desagregations!$A:$B,2,0),""),IF(N14&lt;&gt;"","_",""),IF(N14&lt;&gt;"",VLOOKUP(N14,Desagregations!$A:$B,2,0),""),IF(O14&lt;&gt;"","_",""),IF(O14&lt;&gt;"",VLOOKUP(O14,Desagregations!$A:$B,2,0),""),IF(P14&lt;&gt;"","_",""),IF(P14&lt;&gt;"",VLOOKUP(P14,Desagregations!$A:$B,2,0),"")),"-",VLOOKUP(D14,Unites!$A:$B,2,0),"-",VLOOKUP(E14,Sources!$A:$B,2,0),"-",VLOOKUP(F14,CommentaireValeurIndicateurs!$A:$B,2,0),"-",VLOOKUP(G14,NatureDonnees!$A:$B,2,0),"-",VLOOKUP(H14,Periodes!$A:$B,2,0))</f>
        <v>1258-1-6-4-10-3-1-26</v>
      </c>
      <c r="B14" s="2" t="s">
        <v>14</v>
      </c>
      <c r="C14" s="4" t="s">
        <v>136</v>
      </c>
      <c r="D14" t="s">
        <v>125</v>
      </c>
      <c r="E14" t="s">
        <v>84</v>
      </c>
      <c r="F14" s="4" t="s">
        <v>399</v>
      </c>
      <c r="G14" s="4" t="s">
        <v>400</v>
      </c>
      <c r="H14">
        <v>2025</v>
      </c>
      <c r="I14">
        <v>70.150000000000006</v>
      </c>
      <c r="K14" t="s">
        <v>77</v>
      </c>
    </row>
    <row r="15" spans="1:11" x14ac:dyDescent="0.25">
      <c r="A15" t="str">
        <f>_xlfn.CONCAT(VLOOKUP(B15,Indicateurs!$A:$B,2,0),"-",VLOOKUP(C15,Zones!$A:$B,2,0),"-",_xlfn.CONCAT(IF(K15&lt;&gt;"",VLOOKUP(K15,Desagregations!$A:$B,2,0),""),IF(L15&lt;&gt;"","_",""),IF(L15&lt;&gt;"",VLOOKUP(L15,Desagregations!$A:$B,2,0),""),IF(M15&lt;&gt;"","_",""),IF(M15&lt;&gt;"",VLOOKUP(M15,Desagregations!$A:$B,2,0),""),IF(N15&lt;&gt;"","_",""),IF(N15&lt;&gt;"",VLOOKUP(N15,Desagregations!$A:$B,2,0),""),IF(O15&lt;&gt;"","_",""),IF(O15&lt;&gt;"",VLOOKUP(O15,Desagregations!$A:$B,2,0),""),IF(P15&lt;&gt;"","_",""),IF(P15&lt;&gt;"",VLOOKUP(P15,Desagregations!$A:$B,2,0),"")),"-",VLOOKUP(D15,Unites!$A:$B,2,0),"-",VLOOKUP(E15,Sources!$A:$B,2,0),"-",VLOOKUP(F15,CommentaireValeurIndicateurs!$A:$B,2,0),"-",VLOOKUP(G15,NatureDonnees!$A:$B,2,0),"-",VLOOKUP(H15,Periodes!$A:$B,2,0))</f>
        <v>1259-1-6-4-4-3-1-26</v>
      </c>
      <c r="B15" s="2" t="s">
        <v>15</v>
      </c>
      <c r="C15" s="4" t="s">
        <v>136</v>
      </c>
      <c r="D15" t="s">
        <v>125</v>
      </c>
      <c r="E15" t="s">
        <v>78</v>
      </c>
      <c r="F15" s="4" t="s">
        <v>399</v>
      </c>
      <c r="G15" s="4" t="s">
        <v>400</v>
      </c>
      <c r="H15">
        <v>2025</v>
      </c>
      <c r="I15">
        <v>43.4</v>
      </c>
      <c r="K15" t="s">
        <v>77</v>
      </c>
    </row>
    <row r="16" spans="1:11" x14ac:dyDescent="0.25">
      <c r="A16" t="str">
        <f>_xlfn.CONCAT(VLOOKUP(B16,Indicateurs!$A:$B,2,0),"-",VLOOKUP(C16,Zones!$A:$B,2,0),"-",_xlfn.CONCAT(IF(K16&lt;&gt;"",VLOOKUP(K16,Desagregations!$A:$B,2,0),""),IF(L16&lt;&gt;"","_",""),IF(L16&lt;&gt;"",VLOOKUP(L16,Desagregations!$A:$B,2,0),""),IF(M16&lt;&gt;"","_",""),IF(M16&lt;&gt;"",VLOOKUP(M16,Desagregations!$A:$B,2,0),""),IF(N16&lt;&gt;"","_",""),IF(N16&lt;&gt;"",VLOOKUP(N16,Desagregations!$A:$B,2,0),""),IF(O16&lt;&gt;"","_",""),IF(O16&lt;&gt;"",VLOOKUP(O16,Desagregations!$A:$B,2,0),""),IF(P16&lt;&gt;"","_",""),IF(P16&lt;&gt;"",VLOOKUP(P16,Desagregations!$A:$B,2,0),"")),"-",VLOOKUP(D16,Unites!$A:$B,2,0),"-",VLOOKUP(E16,Sources!$A:$B,2,0),"-",VLOOKUP(F16,CommentaireValeurIndicateurs!$A:$B,2,0),"-",VLOOKUP(G16,NatureDonnees!$A:$B,2,0),"-",VLOOKUP(H16,Periodes!$A:$B,2,0))</f>
        <v>1260-1-6-7-11-3-1-26</v>
      </c>
      <c r="B16" s="2" t="s">
        <v>16</v>
      </c>
      <c r="C16" s="4" t="s">
        <v>136</v>
      </c>
      <c r="D16" t="s">
        <v>128</v>
      </c>
      <c r="E16" t="s">
        <v>85</v>
      </c>
      <c r="F16" s="4" t="s">
        <v>399</v>
      </c>
      <c r="G16" s="4" t="s">
        <v>400</v>
      </c>
      <c r="H16">
        <v>2025</v>
      </c>
      <c r="I16">
        <v>3</v>
      </c>
      <c r="K16" t="s">
        <v>77</v>
      </c>
    </row>
    <row r="17" spans="1:11" x14ac:dyDescent="0.25">
      <c r="A17" t="str">
        <f>_xlfn.CONCAT(VLOOKUP(B17,Indicateurs!$A:$B,2,0),"-",VLOOKUP(C17,Zones!$A:$B,2,0),"-",_xlfn.CONCAT(IF(K17&lt;&gt;"",VLOOKUP(K17,Desagregations!$A:$B,2,0),""),IF(L17&lt;&gt;"","_",""),IF(L17&lt;&gt;"",VLOOKUP(L17,Desagregations!$A:$B,2,0),""),IF(M17&lt;&gt;"","_",""),IF(M17&lt;&gt;"",VLOOKUP(M17,Desagregations!$A:$B,2,0),""),IF(N17&lt;&gt;"","_",""),IF(N17&lt;&gt;"",VLOOKUP(N17,Desagregations!$A:$B,2,0),""),IF(O17&lt;&gt;"","_",""),IF(O17&lt;&gt;"",VLOOKUP(O17,Desagregations!$A:$B,2,0),""),IF(P17&lt;&gt;"","_",""),IF(P17&lt;&gt;"",VLOOKUP(P17,Desagregations!$A:$B,2,0),"")),"-",VLOOKUP(D17,Unites!$A:$B,2,0),"-",VLOOKUP(E17,Sources!$A:$B,2,0),"-",VLOOKUP(F17,CommentaireValeurIndicateurs!$A:$B,2,0),"-",VLOOKUP(G17,NatureDonnees!$A:$B,2,0),"-",VLOOKUP(H17,Periodes!$A:$B,2,0))</f>
        <v>1261-1-6-4-12-3-1-26</v>
      </c>
      <c r="B17" s="2" t="s">
        <v>17</v>
      </c>
      <c r="C17" s="4" t="s">
        <v>136</v>
      </c>
      <c r="D17" t="s">
        <v>125</v>
      </c>
      <c r="E17" t="s">
        <v>86</v>
      </c>
      <c r="F17" s="4" t="s">
        <v>399</v>
      </c>
      <c r="G17" s="4" t="s">
        <v>400</v>
      </c>
      <c r="H17">
        <v>2025</v>
      </c>
      <c r="I17">
        <v>60</v>
      </c>
      <c r="K17" t="s">
        <v>77</v>
      </c>
    </row>
    <row r="18" spans="1:11" x14ac:dyDescent="0.25">
      <c r="A18" t="str">
        <f>_xlfn.CONCAT(VLOOKUP(B18,Indicateurs!$A:$B,2,0),"-",VLOOKUP(C18,Zones!$A:$B,2,0),"-",_xlfn.CONCAT(IF(K18&lt;&gt;"",VLOOKUP(K18,Desagregations!$A:$B,2,0),""),IF(L18&lt;&gt;"","_",""),IF(L18&lt;&gt;"",VLOOKUP(L18,Desagregations!$A:$B,2,0),""),IF(M18&lt;&gt;"","_",""),IF(M18&lt;&gt;"",VLOOKUP(M18,Desagregations!$A:$B,2,0),""),IF(N18&lt;&gt;"","_",""),IF(N18&lt;&gt;"",VLOOKUP(N18,Desagregations!$A:$B,2,0),""),IF(O18&lt;&gt;"","_",""),IF(O18&lt;&gt;"",VLOOKUP(O18,Desagregations!$A:$B,2,0),""),IF(P18&lt;&gt;"","_",""),IF(P18&lt;&gt;"",VLOOKUP(P18,Desagregations!$A:$B,2,0),"")),"-",VLOOKUP(D18,Unites!$A:$B,2,0),"-",VLOOKUP(E18,Sources!$A:$B,2,0),"-",VLOOKUP(F18,CommentaireValeurIndicateurs!$A:$B,2,0),"-",VLOOKUP(G18,NatureDonnees!$A:$B,2,0),"-",VLOOKUP(H18,Periodes!$A:$B,2,0))</f>
        <v>1262-1-6-4-13-3-1-26</v>
      </c>
      <c r="B18" s="3" t="s">
        <v>18</v>
      </c>
      <c r="C18" s="4" t="s">
        <v>136</v>
      </c>
      <c r="D18" t="s">
        <v>125</v>
      </c>
      <c r="E18" t="s">
        <v>87</v>
      </c>
      <c r="F18" s="4" t="s">
        <v>399</v>
      </c>
      <c r="G18" s="4" t="s">
        <v>400</v>
      </c>
      <c r="H18">
        <v>2025</v>
      </c>
      <c r="I18">
        <v>74</v>
      </c>
      <c r="K18" t="s">
        <v>77</v>
      </c>
    </row>
    <row r="19" spans="1:11" x14ac:dyDescent="0.25">
      <c r="A19" t="str">
        <f>_xlfn.CONCAT(VLOOKUP(B19,Indicateurs!$A:$B,2,0),"-",VLOOKUP(C19,Zones!$A:$B,2,0),"-",_xlfn.CONCAT(IF(K19&lt;&gt;"",VLOOKUP(K19,Desagregations!$A:$B,2,0),""),IF(L19&lt;&gt;"","_",""),IF(L19&lt;&gt;"",VLOOKUP(L19,Desagregations!$A:$B,2,0),""),IF(M19&lt;&gt;"","_",""),IF(M19&lt;&gt;"",VLOOKUP(M19,Desagregations!$A:$B,2,0),""),IF(N19&lt;&gt;"","_",""),IF(N19&lt;&gt;"",VLOOKUP(N19,Desagregations!$A:$B,2,0),""),IF(O19&lt;&gt;"","_",""),IF(O19&lt;&gt;"",VLOOKUP(O19,Desagregations!$A:$B,2,0),""),IF(P19&lt;&gt;"","_",""),IF(P19&lt;&gt;"",VLOOKUP(P19,Desagregations!$A:$B,2,0),"")),"-",VLOOKUP(D19,Unites!$A:$B,2,0),"-",VLOOKUP(E19,Sources!$A:$B,2,0),"-",VLOOKUP(F19,CommentaireValeurIndicateurs!$A:$B,2,0),"-",VLOOKUP(G19,NatureDonnees!$A:$B,2,0),"-",VLOOKUP(H19,Periodes!$A:$B,2,0))</f>
        <v>1263-1-6-4-10-3-1-26</v>
      </c>
      <c r="B19" s="2" t="s">
        <v>19</v>
      </c>
      <c r="C19" s="4" t="s">
        <v>136</v>
      </c>
      <c r="D19" t="s">
        <v>125</v>
      </c>
      <c r="E19" t="s">
        <v>84</v>
      </c>
      <c r="F19" s="4" t="s">
        <v>399</v>
      </c>
      <c r="G19" s="4" t="s">
        <v>400</v>
      </c>
      <c r="H19">
        <v>2025</v>
      </c>
      <c r="I19">
        <v>75</v>
      </c>
      <c r="K19" t="s">
        <v>77</v>
      </c>
    </row>
    <row r="20" spans="1:11" x14ac:dyDescent="0.25">
      <c r="A20" t="str">
        <f>_xlfn.CONCAT(VLOOKUP(B20,Indicateurs!$A:$B,2,0),"-",VLOOKUP(C20,Zones!$A:$B,2,0),"-",_xlfn.CONCAT(IF(K20&lt;&gt;"",VLOOKUP(K20,Desagregations!$A:$B,2,0),""),IF(L20&lt;&gt;"","_",""),IF(L20&lt;&gt;"",VLOOKUP(L20,Desagregations!$A:$B,2,0),""),IF(M20&lt;&gt;"","_",""),IF(M20&lt;&gt;"",VLOOKUP(M20,Desagregations!$A:$B,2,0),""),IF(N20&lt;&gt;"","_",""),IF(N20&lt;&gt;"",VLOOKUP(N20,Desagregations!$A:$B,2,0),""),IF(O20&lt;&gt;"","_",""),IF(O20&lt;&gt;"",VLOOKUP(O20,Desagregations!$A:$B,2,0),""),IF(P20&lt;&gt;"","_",""),IF(P20&lt;&gt;"",VLOOKUP(P20,Desagregations!$A:$B,2,0),"")),"-",VLOOKUP(D20,Unites!$A:$B,2,0),"-",VLOOKUP(E20,Sources!$A:$B,2,0),"-",VLOOKUP(F20,CommentaireValeurIndicateurs!$A:$B,2,0),"-",VLOOKUP(G20,NatureDonnees!$A:$B,2,0),"-",VLOOKUP(H20,Periodes!$A:$B,2,0))</f>
        <v>1264-1-6-4-10-3-1-26</v>
      </c>
      <c r="B20" s="2" t="s">
        <v>20</v>
      </c>
      <c r="C20" s="4" t="s">
        <v>136</v>
      </c>
      <c r="D20" t="s">
        <v>125</v>
      </c>
      <c r="E20" t="s">
        <v>84</v>
      </c>
      <c r="F20" s="4" t="s">
        <v>399</v>
      </c>
      <c r="G20" s="4" t="s">
        <v>400</v>
      </c>
      <c r="H20">
        <v>2025</v>
      </c>
      <c r="I20">
        <v>35</v>
      </c>
      <c r="K20" t="s">
        <v>77</v>
      </c>
    </row>
    <row r="21" spans="1:11" x14ac:dyDescent="0.25">
      <c r="A21" t="str">
        <f>_xlfn.CONCAT(VLOOKUP(B21,Indicateurs!$A:$B,2,0),"-",VLOOKUP(C21,Zones!$A:$B,2,0),"-",_xlfn.CONCAT(IF(K21&lt;&gt;"",VLOOKUP(K21,Desagregations!$A:$B,2,0),""),IF(L21&lt;&gt;"","_",""),IF(L21&lt;&gt;"",VLOOKUP(L21,Desagregations!$A:$B,2,0),""),IF(M21&lt;&gt;"","_",""),IF(M21&lt;&gt;"",VLOOKUP(M21,Desagregations!$A:$B,2,0),""),IF(N21&lt;&gt;"","_",""),IF(N21&lt;&gt;"",VLOOKUP(N21,Desagregations!$A:$B,2,0),""),IF(O21&lt;&gt;"","_",""),IF(O21&lt;&gt;"",VLOOKUP(O21,Desagregations!$A:$B,2,0),""),IF(P21&lt;&gt;"","_",""),IF(P21&lt;&gt;"",VLOOKUP(P21,Desagregations!$A:$B,2,0),"")),"-",VLOOKUP(D21,Unites!$A:$B,2,0),"-",VLOOKUP(E21,Sources!$A:$B,2,0),"-",VLOOKUP(F21,CommentaireValeurIndicateurs!$A:$B,2,0),"-",VLOOKUP(G21,NatureDonnees!$A:$B,2,0),"-",VLOOKUP(H21,Periodes!$A:$B,2,0))</f>
        <v>1265-1-6-4-14-3-1-26</v>
      </c>
      <c r="B21" s="2" t="s">
        <v>21</v>
      </c>
      <c r="C21" s="4" t="s">
        <v>136</v>
      </c>
      <c r="D21" t="s">
        <v>125</v>
      </c>
      <c r="E21" t="s">
        <v>88</v>
      </c>
      <c r="F21" s="4" t="s">
        <v>399</v>
      </c>
      <c r="G21" s="4" t="s">
        <v>400</v>
      </c>
      <c r="H21">
        <v>2025</v>
      </c>
      <c r="I21">
        <v>80</v>
      </c>
      <c r="K21" t="s">
        <v>77</v>
      </c>
    </row>
    <row r="22" spans="1:11" x14ac:dyDescent="0.25">
      <c r="A22" t="str">
        <f>_xlfn.CONCAT(VLOOKUP(B22,Indicateurs!$A:$B,2,0),"-",VLOOKUP(C22,Zones!$A:$B,2,0),"-",_xlfn.CONCAT(IF(K22&lt;&gt;"",VLOOKUP(K22,Desagregations!$A:$B,2,0),""),IF(L22&lt;&gt;"","_",""),IF(L22&lt;&gt;"",VLOOKUP(L22,Desagregations!$A:$B,2,0),""),IF(M22&lt;&gt;"","_",""),IF(M22&lt;&gt;"",VLOOKUP(M22,Desagregations!$A:$B,2,0),""),IF(N22&lt;&gt;"","_",""),IF(N22&lt;&gt;"",VLOOKUP(N22,Desagregations!$A:$B,2,0),""),IF(O22&lt;&gt;"","_",""),IF(O22&lt;&gt;"",VLOOKUP(O22,Desagregations!$A:$B,2,0),""),IF(P22&lt;&gt;"","_",""),IF(P22&lt;&gt;"",VLOOKUP(P22,Desagregations!$A:$B,2,0),"")),"-",VLOOKUP(D22,Unites!$A:$B,2,0),"-",VLOOKUP(E22,Sources!$A:$B,2,0),"-",VLOOKUP(F22,CommentaireValeurIndicateurs!$A:$B,2,0),"-",VLOOKUP(G22,NatureDonnees!$A:$B,2,0),"-",VLOOKUP(H22,Periodes!$A:$B,2,0))</f>
        <v>1266-1-6-8-15-3-1-26</v>
      </c>
      <c r="B22" s="3" t="s">
        <v>22</v>
      </c>
      <c r="C22" s="4" t="s">
        <v>136</v>
      </c>
      <c r="D22" t="s">
        <v>129</v>
      </c>
      <c r="E22" t="s">
        <v>89</v>
      </c>
      <c r="F22" s="4" t="s">
        <v>399</v>
      </c>
      <c r="G22" s="4" t="s">
        <v>400</v>
      </c>
      <c r="H22">
        <v>2025</v>
      </c>
      <c r="I22">
        <v>90</v>
      </c>
      <c r="K22" t="s">
        <v>77</v>
      </c>
    </row>
    <row r="23" spans="1:11" x14ac:dyDescent="0.25">
      <c r="A23" t="str">
        <f>_xlfn.CONCAT(VLOOKUP(B23,Indicateurs!$A:$B,2,0),"-",VLOOKUP(C23,Zones!$A:$B,2,0),"-",_xlfn.CONCAT(IF(K23&lt;&gt;"",VLOOKUP(K23,Desagregations!$A:$B,2,0),""),IF(L23&lt;&gt;"","_",""),IF(L23&lt;&gt;"",VLOOKUP(L23,Desagregations!$A:$B,2,0),""),IF(M23&lt;&gt;"","_",""),IF(M23&lt;&gt;"",VLOOKUP(M23,Desagregations!$A:$B,2,0),""),IF(N23&lt;&gt;"","_",""),IF(N23&lt;&gt;"",VLOOKUP(N23,Desagregations!$A:$B,2,0),""),IF(O23&lt;&gt;"","_",""),IF(O23&lt;&gt;"",VLOOKUP(O23,Desagregations!$A:$B,2,0),""),IF(P23&lt;&gt;"","_",""),IF(P23&lt;&gt;"",VLOOKUP(P23,Desagregations!$A:$B,2,0),"")),"-",VLOOKUP(D23,Unites!$A:$B,2,0),"-",VLOOKUP(E23,Sources!$A:$B,2,0),"-",VLOOKUP(F23,CommentaireValeurIndicateurs!$A:$B,2,0),"-",VLOOKUP(G23,NatureDonnees!$A:$B,2,0),"-",VLOOKUP(H23,Periodes!$A:$B,2,0))</f>
        <v>1267-1-6-4-16-3-1-26</v>
      </c>
      <c r="B23" s="2" t="s">
        <v>23</v>
      </c>
      <c r="C23" s="4" t="s">
        <v>136</v>
      </c>
      <c r="D23" t="s">
        <v>125</v>
      </c>
      <c r="E23" t="s">
        <v>90</v>
      </c>
      <c r="F23" s="4" t="s">
        <v>399</v>
      </c>
      <c r="G23" s="4" t="s">
        <v>400</v>
      </c>
      <c r="H23">
        <v>2025</v>
      </c>
      <c r="I23">
        <v>6.6</v>
      </c>
      <c r="K23" t="s">
        <v>77</v>
      </c>
    </row>
    <row r="24" spans="1:11" x14ac:dyDescent="0.25">
      <c r="A24" t="str">
        <f>_xlfn.CONCAT(VLOOKUP(B24,Indicateurs!$A:$B,2,0),"-",VLOOKUP(C24,Zones!$A:$B,2,0),"-",_xlfn.CONCAT(IF(K24&lt;&gt;"",VLOOKUP(K24,Desagregations!$A:$B,2,0),""),IF(L24&lt;&gt;"","_",""),IF(L24&lt;&gt;"",VLOOKUP(L24,Desagregations!$A:$B,2,0),""),IF(M24&lt;&gt;"","_",""),IF(M24&lt;&gt;"",VLOOKUP(M24,Desagregations!$A:$B,2,0),""),IF(N24&lt;&gt;"","_",""),IF(N24&lt;&gt;"",VLOOKUP(N24,Desagregations!$A:$B,2,0),""),IF(O24&lt;&gt;"","_",""),IF(O24&lt;&gt;"",VLOOKUP(O24,Desagregations!$A:$B,2,0),""),IF(P24&lt;&gt;"","_",""),IF(P24&lt;&gt;"",VLOOKUP(P24,Desagregations!$A:$B,2,0),"")),"-",VLOOKUP(D24,Unites!$A:$B,2,0),"-",VLOOKUP(E24,Sources!$A:$B,2,0),"-",VLOOKUP(F24,CommentaireValeurIndicateurs!$A:$B,2,0),"-",VLOOKUP(G24,NatureDonnees!$A:$B,2,0),"-",VLOOKUP(H24,Periodes!$A:$B,2,0))</f>
        <v>1268-1-6-9-4-3-1-26</v>
      </c>
      <c r="B24" s="2" t="s">
        <v>24</v>
      </c>
      <c r="C24" s="4" t="s">
        <v>136</v>
      </c>
      <c r="D24" t="s">
        <v>130</v>
      </c>
      <c r="E24" t="s">
        <v>78</v>
      </c>
      <c r="F24" s="4" t="s">
        <v>399</v>
      </c>
      <c r="G24" s="4" t="s">
        <v>400</v>
      </c>
      <c r="H24">
        <v>2025</v>
      </c>
      <c r="I24">
        <v>0.30599999999999999</v>
      </c>
      <c r="K24" t="s">
        <v>77</v>
      </c>
    </row>
    <row r="25" spans="1:11" x14ac:dyDescent="0.25">
      <c r="A25" t="str">
        <f>_xlfn.CONCAT(VLOOKUP(B25,Indicateurs!$A:$B,2,0),"-",VLOOKUP(C25,Zones!$A:$B,2,0),"-",_xlfn.CONCAT(IF(K25&lt;&gt;"",VLOOKUP(K25,Desagregations!$A:$B,2,0),""),IF(L25&lt;&gt;"","_",""),IF(L25&lt;&gt;"",VLOOKUP(L25,Desagregations!$A:$B,2,0),""),IF(M25&lt;&gt;"","_",""),IF(M25&lt;&gt;"",VLOOKUP(M25,Desagregations!$A:$B,2,0),""),IF(N25&lt;&gt;"","_",""),IF(N25&lt;&gt;"",VLOOKUP(N25,Desagregations!$A:$B,2,0),""),IF(O25&lt;&gt;"","_",""),IF(O25&lt;&gt;"",VLOOKUP(O25,Desagregations!$A:$B,2,0),""),IF(P25&lt;&gt;"","_",""),IF(P25&lt;&gt;"",VLOOKUP(P25,Desagregations!$A:$B,2,0),"")),"-",VLOOKUP(D25,Unites!$A:$B,2,0),"-",VLOOKUP(E25,Sources!$A:$B,2,0),"-",VLOOKUP(F25,CommentaireValeurIndicateurs!$A:$B,2,0),"-",VLOOKUP(G25,NatureDonnees!$A:$B,2,0),"-",VLOOKUP(H25,Periodes!$A:$B,2,0))</f>
        <v>1269-1-6-4-17-3-1-26</v>
      </c>
      <c r="B25" s="2" t="s">
        <v>25</v>
      </c>
      <c r="C25" s="4" t="s">
        <v>136</v>
      </c>
      <c r="D25" t="s">
        <v>125</v>
      </c>
      <c r="E25" t="s">
        <v>91</v>
      </c>
      <c r="F25" s="4" t="s">
        <v>399</v>
      </c>
      <c r="G25" s="4" t="s">
        <v>400</v>
      </c>
      <c r="H25">
        <v>2025</v>
      </c>
      <c r="I25">
        <v>92</v>
      </c>
      <c r="K25" t="s">
        <v>77</v>
      </c>
    </row>
    <row r="26" spans="1:11" x14ac:dyDescent="0.25">
      <c r="A26" t="str">
        <f>_xlfn.CONCAT(VLOOKUP(B26,Indicateurs!$A:$B,2,0),"-",VLOOKUP(C26,Zones!$A:$B,2,0),"-",_xlfn.CONCAT(IF(K26&lt;&gt;"",VLOOKUP(K26,Desagregations!$A:$B,2,0),""),IF(L26&lt;&gt;"","_",""),IF(L26&lt;&gt;"",VLOOKUP(L26,Desagregations!$A:$B,2,0),""),IF(M26&lt;&gt;"","_",""),IF(M26&lt;&gt;"",VLOOKUP(M26,Desagregations!$A:$B,2,0),""),IF(N26&lt;&gt;"","_",""),IF(N26&lt;&gt;"",VLOOKUP(N26,Desagregations!$A:$B,2,0),""),IF(O26&lt;&gt;"","_",""),IF(O26&lt;&gt;"",VLOOKUP(O26,Desagregations!$A:$B,2,0),""),IF(P26&lt;&gt;"","_",""),IF(P26&lt;&gt;"",VLOOKUP(P26,Desagregations!$A:$B,2,0),"")),"-",VLOOKUP(D26,Unites!$A:$B,2,0),"-",VLOOKUP(E26,Sources!$A:$B,2,0),"-",VLOOKUP(F26,CommentaireValeurIndicateurs!$A:$B,2,0),"-",VLOOKUP(G26,NatureDonnees!$A:$B,2,0),"-",VLOOKUP(H26,Periodes!$A:$B,2,0))</f>
        <v>1270-1-6-4-18-3-1-26</v>
      </c>
      <c r="B26" s="2" t="s">
        <v>26</v>
      </c>
      <c r="C26" s="4" t="s">
        <v>136</v>
      </c>
      <c r="D26" t="s">
        <v>125</v>
      </c>
      <c r="E26" t="s">
        <v>92</v>
      </c>
      <c r="F26" s="4" t="s">
        <v>399</v>
      </c>
      <c r="G26" s="4" t="s">
        <v>400</v>
      </c>
      <c r="H26">
        <v>2025</v>
      </c>
      <c r="I26">
        <v>50</v>
      </c>
      <c r="K26" t="s">
        <v>77</v>
      </c>
    </row>
    <row r="27" spans="1:11" x14ac:dyDescent="0.25">
      <c r="A27" t="str">
        <f>_xlfn.CONCAT(VLOOKUP(B27,Indicateurs!$A:$B,2,0),"-",VLOOKUP(C27,Zones!$A:$B,2,0),"-",_xlfn.CONCAT(IF(K27&lt;&gt;"",VLOOKUP(K27,Desagregations!$A:$B,2,0),""),IF(L27&lt;&gt;"","_",""),IF(L27&lt;&gt;"",VLOOKUP(L27,Desagregations!$A:$B,2,0),""),IF(M27&lt;&gt;"","_",""),IF(M27&lt;&gt;"",VLOOKUP(M27,Desagregations!$A:$B,2,0),""),IF(N27&lt;&gt;"","_",""),IF(N27&lt;&gt;"",VLOOKUP(N27,Desagregations!$A:$B,2,0),""),IF(O27&lt;&gt;"","_",""),IF(O27&lt;&gt;"",VLOOKUP(O27,Desagregations!$A:$B,2,0),""),IF(P27&lt;&gt;"","_",""),IF(P27&lt;&gt;"",VLOOKUP(P27,Desagregations!$A:$B,2,0),"")),"-",VLOOKUP(D27,Unites!$A:$B,2,0),"-",VLOOKUP(E27,Sources!$A:$B,2,0),"-",VLOOKUP(F27,CommentaireValeurIndicateurs!$A:$B,2,0),"-",VLOOKUP(G27,NatureDonnees!$A:$B,2,0),"-",VLOOKUP(H27,Periodes!$A:$B,2,0))</f>
        <v>1271-1-6-4-19-3-1-26</v>
      </c>
      <c r="B27" s="3" t="s">
        <v>27</v>
      </c>
      <c r="C27" s="4" t="s">
        <v>136</v>
      </c>
      <c r="D27" t="s">
        <v>125</v>
      </c>
      <c r="E27" t="s">
        <v>93</v>
      </c>
      <c r="F27" s="4" t="s">
        <v>399</v>
      </c>
      <c r="G27" s="4" t="s">
        <v>400</v>
      </c>
      <c r="H27">
        <v>2025</v>
      </c>
      <c r="I27">
        <v>8.4</v>
      </c>
      <c r="K27" t="s">
        <v>77</v>
      </c>
    </row>
    <row r="28" spans="1:11" x14ac:dyDescent="0.25">
      <c r="A28" t="e">
        <f>_xlfn.CONCAT(VLOOKUP(B28,Indicateurs!$A:$B,2,0),"-",VLOOKUP(C28,Zones!$A:$B,2,0),"-",_xlfn.CONCAT(IF(K28&lt;&gt;"",VLOOKUP(K28,Desagregations!$A:$B,2,0),""),IF(L28&lt;&gt;"","_",""),IF(L28&lt;&gt;"",VLOOKUP(L28,Desagregations!$A:$B,2,0),""),IF(M28&lt;&gt;"","_",""),IF(M28&lt;&gt;"",VLOOKUP(M28,Desagregations!$A:$B,2,0),""),IF(N28&lt;&gt;"","_",""),IF(N28&lt;&gt;"",VLOOKUP(N28,Desagregations!$A:$B,2,0),""),IF(O28&lt;&gt;"","_",""),IF(O28&lt;&gt;"",VLOOKUP(O28,Desagregations!$A:$B,2,0),""),IF(P28&lt;&gt;"","_",""),IF(P28&lt;&gt;"",VLOOKUP(P28,Desagregations!$A:$B,2,0),"")),"-",VLOOKUP(D28,Unites!$A:$B,2,0),"-",VLOOKUP(E28,Sources!$A:$B,2,0),"-",VLOOKUP(F28,CommentaireValeurIndicateurs!$A:$B,2,0),"-",VLOOKUP(G28,NatureDonnees!$A:$B,2,0),"-",VLOOKUP(H28,Periodes!$A:$B,2,0))</f>
        <v>#N/A</v>
      </c>
      <c r="B28" s="5" t="s">
        <v>28</v>
      </c>
      <c r="C28" s="4" t="s">
        <v>136</v>
      </c>
      <c r="D28" t="s">
        <v>125</v>
      </c>
      <c r="E28" s="4" t="s">
        <v>94</v>
      </c>
      <c r="F28" s="4" t="s">
        <v>399</v>
      </c>
      <c r="G28" s="4" t="s">
        <v>400</v>
      </c>
      <c r="I28" s="6"/>
      <c r="K28" t="s">
        <v>77</v>
      </c>
    </row>
    <row r="29" spans="1:11" x14ac:dyDescent="0.25">
      <c r="A29" t="str">
        <f>_xlfn.CONCAT(VLOOKUP(B29,Indicateurs!$A:$B,2,0),"-",VLOOKUP(C29,Zones!$A:$B,2,0),"-",_xlfn.CONCAT(IF(K29&lt;&gt;"",VLOOKUP(K29,Desagregations!$A:$B,2,0),""),IF(L29&lt;&gt;"","_",""),IF(L29&lt;&gt;"",VLOOKUP(L29,Desagregations!$A:$B,2,0),""),IF(M29&lt;&gt;"","_",""),IF(M29&lt;&gt;"",VLOOKUP(M29,Desagregations!$A:$B,2,0),""),IF(N29&lt;&gt;"","_",""),IF(N29&lt;&gt;"",VLOOKUP(N29,Desagregations!$A:$B,2,0),""),IF(O29&lt;&gt;"","_",""),IF(O29&lt;&gt;"",VLOOKUP(O29,Desagregations!$A:$B,2,0),""),IF(P29&lt;&gt;"","_",""),IF(P29&lt;&gt;"",VLOOKUP(P29,Desagregations!$A:$B,2,0),"")),"-",VLOOKUP(D29,Unites!$A:$B,2,0),"-",VLOOKUP(E29,Sources!$A:$B,2,0),"-",VLOOKUP(F29,CommentaireValeurIndicateurs!$A:$B,2,0),"-",VLOOKUP(G29,NatureDonnees!$A:$B,2,0),"-",VLOOKUP(H29,Periodes!$A:$B,2,0))</f>
        <v>1273-1-6-4-21-3-1-26</v>
      </c>
      <c r="B29" s="2" t="s">
        <v>29</v>
      </c>
      <c r="C29" s="4" t="s">
        <v>136</v>
      </c>
      <c r="D29" t="s">
        <v>125</v>
      </c>
      <c r="E29" t="s">
        <v>95</v>
      </c>
      <c r="F29" s="4" t="s">
        <v>399</v>
      </c>
      <c r="G29" s="4" t="s">
        <v>400</v>
      </c>
      <c r="H29">
        <v>2025</v>
      </c>
      <c r="I29">
        <v>9.1999999999999993</v>
      </c>
      <c r="K29" t="s">
        <v>77</v>
      </c>
    </row>
    <row r="30" spans="1:11" x14ac:dyDescent="0.25">
      <c r="A30" t="str">
        <f>_xlfn.CONCAT(VLOOKUP(B30,Indicateurs!$A:$B,2,0),"-",VLOOKUP(C30,Zones!$A:$B,2,0),"-",_xlfn.CONCAT(IF(K30&lt;&gt;"",VLOOKUP(K30,Desagregations!$A:$B,2,0),""),IF(L30&lt;&gt;"","_",""),IF(L30&lt;&gt;"",VLOOKUP(L30,Desagregations!$A:$B,2,0),""),IF(M30&lt;&gt;"","_",""),IF(M30&lt;&gt;"",VLOOKUP(M30,Desagregations!$A:$B,2,0),""),IF(N30&lt;&gt;"","_",""),IF(N30&lt;&gt;"",VLOOKUP(N30,Desagregations!$A:$B,2,0),""),IF(O30&lt;&gt;"","_",""),IF(O30&lt;&gt;"",VLOOKUP(O30,Desagregations!$A:$B,2,0),""),IF(P30&lt;&gt;"","_",""),IF(P30&lt;&gt;"",VLOOKUP(P30,Desagregations!$A:$B,2,0),"")),"-",VLOOKUP(D30,Unites!$A:$B,2,0),"-",VLOOKUP(E30,Sources!$A:$B,2,0),"-",VLOOKUP(F30,CommentaireValeurIndicateurs!$A:$B,2,0),"-",VLOOKUP(G30,NatureDonnees!$A:$B,2,0),"-",VLOOKUP(H30,Periodes!$A:$B,2,0))</f>
        <v>1274-1-6-4-16-3-1-26</v>
      </c>
      <c r="B30" s="2" t="s">
        <v>30</v>
      </c>
      <c r="C30" s="4" t="s">
        <v>136</v>
      </c>
      <c r="D30" t="s">
        <v>125</v>
      </c>
      <c r="E30" t="s">
        <v>90</v>
      </c>
      <c r="F30" s="4" t="s">
        <v>399</v>
      </c>
      <c r="G30" s="4" t="s">
        <v>400</v>
      </c>
      <c r="H30">
        <v>2025</v>
      </c>
      <c r="I30">
        <v>29</v>
      </c>
      <c r="K30" t="s">
        <v>77</v>
      </c>
    </row>
    <row r="31" spans="1:11" x14ac:dyDescent="0.25">
      <c r="A31" t="str">
        <f>_xlfn.CONCAT(VLOOKUP(B31,Indicateurs!$A:$B,2,0),"-",VLOOKUP(C31,Zones!$A:$B,2,0),"-",_xlfn.CONCAT(IF(K31&lt;&gt;"",VLOOKUP(K31,Desagregations!$A:$B,2,0),""),IF(L31&lt;&gt;"","_",""),IF(L31&lt;&gt;"",VLOOKUP(L31,Desagregations!$A:$B,2,0),""),IF(M31&lt;&gt;"","_",""),IF(M31&lt;&gt;"",VLOOKUP(M31,Desagregations!$A:$B,2,0),""),IF(N31&lt;&gt;"","_",""),IF(N31&lt;&gt;"",VLOOKUP(N31,Desagregations!$A:$B,2,0),""),IF(O31&lt;&gt;"","_",""),IF(O31&lt;&gt;"",VLOOKUP(O31,Desagregations!$A:$B,2,0),""),IF(P31&lt;&gt;"","_",""),IF(P31&lt;&gt;"",VLOOKUP(P31,Desagregations!$A:$B,2,0),"")),"-",VLOOKUP(D31,Unites!$A:$B,2,0),"-",VLOOKUP(E31,Sources!$A:$B,2,0),"-",VLOOKUP(F31,CommentaireValeurIndicateurs!$A:$B,2,0),"-",VLOOKUP(G31,NatureDonnees!$A:$B,2,0),"-",VLOOKUP(H31,Periodes!$A:$B,2,0))</f>
        <v>1275-1-6-4-22-3-1-26</v>
      </c>
      <c r="B31" s="2" t="s">
        <v>31</v>
      </c>
      <c r="C31" s="4" t="s">
        <v>136</v>
      </c>
      <c r="D31" t="s">
        <v>125</v>
      </c>
      <c r="E31" t="s">
        <v>96</v>
      </c>
      <c r="F31" s="4" t="s">
        <v>399</v>
      </c>
      <c r="G31" s="4" t="s">
        <v>400</v>
      </c>
      <c r="H31">
        <v>2025</v>
      </c>
      <c r="I31">
        <v>43</v>
      </c>
      <c r="K31" t="s">
        <v>77</v>
      </c>
    </row>
    <row r="32" spans="1:11" x14ac:dyDescent="0.25">
      <c r="A32" t="str">
        <f>_xlfn.CONCAT(VLOOKUP(B32,Indicateurs!$A:$B,2,0),"-",VLOOKUP(C32,Zones!$A:$B,2,0),"-",_xlfn.CONCAT(IF(K32&lt;&gt;"",VLOOKUP(K32,Desagregations!$A:$B,2,0),""),IF(L32&lt;&gt;"","_",""),IF(L32&lt;&gt;"",VLOOKUP(L32,Desagregations!$A:$B,2,0),""),IF(M32&lt;&gt;"","_",""),IF(M32&lt;&gt;"",VLOOKUP(M32,Desagregations!$A:$B,2,0),""),IF(N32&lt;&gt;"","_",""),IF(N32&lt;&gt;"",VLOOKUP(N32,Desagregations!$A:$B,2,0),""),IF(O32&lt;&gt;"","_",""),IF(O32&lt;&gt;"",VLOOKUP(O32,Desagregations!$A:$B,2,0),""),IF(P32&lt;&gt;"","_",""),IF(P32&lt;&gt;"",VLOOKUP(P32,Desagregations!$A:$B,2,0),"")),"-",VLOOKUP(D32,Unites!$A:$B,2,0),"-",VLOOKUP(E32,Sources!$A:$B,2,0),"-",VLOOKUP(F32,CommentaireValeurIndicateurs!$A:$B,2,0),"-",VLOOKUP(G32,NatureDonnees!$A:$B,2,0),"-",VLOOKUP(H32,Periodes!$A:$B,2,0))</f>
        <v>1276-1-6-4-22-3-1-26</v>
      </c>
      <c r="B32" s="3" t="s">
        <v>32</v>
      </c>
      <c r="C32" s="4" t="s">
        <v>136</v>
      </c>
      <c r="D32" t="s">
        <v>125</v>
      </c>
      <c r="E32" t="s">
        <v>96</v>
      </c>
      <c r="F32" s="4" t="s">
        <v>399</v>
      </c>
      <c r="G32" s="4" t="s">
        <v>400</v>
      </c>
      <c r="H32">
        <v>2025</v>
      </c>
      <c r="I32">
        <v>10</v>
      </c>
      <c r="K32" t="s">
        <v>77</v>
      </c>
    </row>
    <row r="33" spans="1:11" x14ac:dyDescent="0.25">
      <c r="A33" t="str">
        <f>_xlfn.CONCAT(VLOOKUP(B33,Indicateurs!$A:$B,2,0),"-",VLOOKUP(C33,Zones!$A:$B,2,0),"-",_xlfn.CONCAT(IF(K33&lt;&gt;"",VLOOKUP(K33,Desagregations!$A:$B,2,0),""),IF(L33&lt;&gt;"","_",""),IF(L33&lt;&gt;"",VLOOKUP(L33,Desagregations!$A:$B,2,0),""),IF(M33&lt;&gt;"","_",""),IF(M33&lt;&gt;"",VLOOKUP(M33,Desagregations!$A:$B,2,0),""),IF(N33&lt;&gt;"","_",""),IF(N33&lt;&gt;"",VLOOKUP(N33,Desagregations!$A:$B,2,0),""),IF(O33&lt;&gt;"","_",""),IF(O33&lt;&gt;"",VLOOKUP(O33,Desagregations!$A:$B,2,0),""),IF(P33&lt;&gt;"","_",""),IF(P33&lt;&gt;"",VLOOKUP(P33,Desagregations!$A:$B,2,0),"")),"-",VLOOKUP(D33,Unites!$A:$B,2,0),"-",VLOOKUP(E33,Sources!$A:$B,2,0),"-",VLOOKUP(F33,CommentaireValeurIndicateurs!$A:$B,2,0),"-",VLOOKUP(G33,NatureDonnees!$A:$B,2,0),"-",VLOOKUP(H33,Periodes!$A:$B,2,0))</f>
        <v>1277-1-6-4-22-3-1-26</v>
      </c>
      <c r="B33" s="3" t="s">
        <v>33</v>
      </c>
      <c r="C33" s="4" t="s">
        <v>136</v>
      </c>
      <c r="D33" t="s">
        <v>125</v>
      </c>
      <c r="E33" t="s">
        <v>96</v>
      </c>
      <c r="F33" s="4" t="s">
        <v>399</v>
      </c>
      <c r="G33" s="4" t="s">
        <v>400</v>
      </c>
      <c r="H33">
        <v>2025</v>
      </c>
      <c r="I33">
        <v>5</v>
      </c>
      <c r="K33" t="s">
        <v>77</v>
      </c>
    </row>
    <row r="34" spans="1:11" x14ac:dyDescent="0.25">
      <c r="A34" t="str">
        <f>_xlfn.CONCAT(VLOOKUP(B34,Indicateurs!$A:$B,2,0),"-",VLOOKUP(C34,Zones!$A:$B,2,0),"-",_xlfn.CONCAT(IF(K34&lt;&gt;"",VLOOKUP(K34,Desagregations!$A:$B,2,0),""),IF(L34&lt;&gt;"","_",""),IF(L34&lt;&gt;"",VLOOKUP(L34,Desagregations!$A:$B,2,0),""),IF(M34&lt;&gt;"","_",""),IF(M34&lt;&gt;"",VLOOKUP(M34,Desagregations!$A:$B,2,0),""),IF(N34&lt;&gt;"","_",""),IF(N34&lt;&gt;"",VLOOKUP(N34,Desagregations!$A:$B,2,0),""),IF(O34&lt;&gt;"","_",""),IF(O34&lt;&gt;"",VLOOKUP(O34,Desagregations!$A:$B,2,0),""),IF(P34&lt;&gt;"","_",""),IF(P34&lt;&gt;"",VLOOKUP(P34,Desagregations!$A:$B,2,0),"")),"-",VLOOKUP(D34,Unites!$A:$B,2,0),"-",VLOOKUP(E34,Sources!$A:$B,2,0),"-",VLOOKUP(F34,CommentaireValeurIndicateurs!$A:$B,2,0),"-",VLOOKUP(G34,NatureDonnees!$A:$B,2,0),"-",VLOOKUP(H34,Periodes!$A:$B,2,0))</f>
        <v>1278-1-6-4-16-3-1-26</v>
      </c>
      <c r="B34" s="2" t="s">
        <v>34</v>
      </c>
      <c r="C34" s="4" t="s">
        <v>136</v>
      </c>
      <c r="D34" t="s">
        <v>125</v>
      </c>
      <c r="E34" t="s">
        <v>90</v>
      </c>
      <c r="F34" s="4" t="s">
        <v>399</v>
      </c>
      <c r="G34" s="4" t="s">
        <v>400</v>
      </c>
      <c r="H34">
        <v>2025</v>
      </c>
      <c r="I34">
        <v>7</v>
      </c>
      <c r="K34" t="s">
        <v>77</v>
      </c>
    </row>
    <row r="35" spans="1:11" x14ac:dyDescent="0.25">
      <c r="A35" t="str">
        <f>_xlfn.CONCAT(VLOOKUP(B35,Indicateurs!$A:$B,2,0),"-",VLOOKUP(C35,Zones!$A:$B,2,0),"-",_xlfn.CONCAT(IF(K35&lt;&gt;"",VLOOKUP(K35,Desagregations!$A:$B,2,0),""),IF(L35&lt;&gt;"","_",""),IF(L35&lt;&gt;"",VLOOKUP(L35,Desagregations!$A:$B,2,0),""),IF(M35&lt;&gt;"","_",""),IF(M35&lt;&gt;"",VLOOKUP(M35,Desagregations!$A:$B,2,0),""),IF(N35&lt;&gt;"","_",""),IF(N35&lt;&gt;"",VLOOKUP(N35,Desagregations!$A:$B,2,0),""),IF(O35&lt;&gt;"","_",""),IF(O35&lt;&gt;"",VLOOKUP(O35,Desagregations!$A:$B,2,0),""),IF(P35&lt;&gt;"","_",""),IF(P35&lt;&gt;"",VLOOKUP(P35,Desagregations!$A:$B,2,0),"")),"-",VLOOKUP(D35,Unites!$A:$B,2,0),"-",VLOOKUP(E35,Sources!$A:$B,2,0),"-",VLOOKUP(F35,CommentaireValeurIndicateurs!$A:$B,2,0),"-",VLOOKUP(G35,NatureDonnees!$A:$B,2,0),"-",VLOOKUP(H35,Periodes!$A:$B,2,0))</f>
        <v>1279-1-6-4-23-3-1-26</v>
      </c>
      <c r="B35" s="2" t="s">
        <v>35</v>
      </c>
      <c r="C35" s="4" t="s">
        <v>136</v>
      </c>
      <c r="D35" t="s">
        <v>125</v>
      </c>
      <c r="E35" t="s">
        <v>97</v>
      </c>
      <c r="F35" s="4" t="s">
        <v>399</v>
      </c>
      <c r="G35" s="4" t="s">
        <v>400</v>
      </c>
      <c r="H35">
        <v>2025</v>
      </c>
      <c r="I35">
        <v>40.299999999999997</v>
      </c>
      <c r="K35" t="s">
        <v>77</v>
      </c>
    </row>
    <row r="36" spans="1:11" x14ac:dyDescent="0.25">
      <c r="A36" t="str">
        <f>_xlfn.CONCAT(VLOOKUP(B36,Indicateurs!$A:$B,2,0),"-",VLOOKUP(C36,Zones!$A:$B,2,0),"-",_xlfn.CONCAT(IF(K36&lt;&gt;"",VLOOKUP(K36,Desagregations!$A:$B,2,0),""),IF(L36&lt;&gt;"","_",""),IF(L36&lt;&gt;"",VLOOKUP(L36,Desagregations!$A:$B,2,0),""),IF(M36&lt;&gt;"","_",""),IF(M36&lt;&gt;"",VLOOKUP(M36,Desagregations!$A:$B,2,0),""),IF(N36&lt;&gt;"","_",""),IF(N36&lt;&gt;"",VLOOKUP(N36,Desagregations!$A:$B,2,0),""),IF(O36&lt;&gt;"","_",""),IF(O36&lt;&gt;"",VLOOKUP(O36,Desagregations!$A:$B,2,0),""),IF(P36&lt;&gt;"","_",""),IF(P36&lt;&gt;"",VLOOKUP(P36,Desagregations!$A:$B,2,0),"")),"-",VLOOKUP(D36,Unites!$A:$B,2,0),"-",VLOOKUP(E36,Sources!$A:$B,2,0),"-",VLOOKUP(F36,CommentaireValeurIndicateurs!$A:$B,2,0),"-",VLOOKUP(G36,NatureDonnees!$A:$B,2,0),"-",VLOOKUP(H36,Periodes!$A:$B,2,0))</f>
        <v>1280-1-6-4-24-3-1-26</v>
      </c>
      <c r="B36" s="2" t="s">
        <v>36</v>
      </c>
      <c r="C36" s="4" t="s">
        <v>136</v>
      </c>
      <c r="D36" t="s">
        <v>125</v>
      </c>
      <c r="E36" t="s">
        <v>98</v>
      </c>
      <c r="F36" s="4" t="s">
        <v>399</v>
      </c>
      <c r="G36" s="4" t="s">
        <v>400</v>
      </c>
      <c r="H36">
        <v>2025</v>
      </c>
      <c r="I36">
        <v>18.7</v>
      </c>
      <c r="K36" t="s">
        <v>77</v>
      </c>
    </row>
    <row r="37" spans="1:11" x14ac:dyDescent="0.25">
      <c r="A37" t="str">
        <f>_xlfn.CONCAT(VLOOKUP(B37,Indicateurs!$A:$B,2,0),"-",VLOOKUP(C37,Zones!$A:$B,2,0),"-",_xlfn.CONCAT(IF(K37&lt;&gt;"",VLOOKUP(K37,Desagregations!$A:$B,2,0),""),IF(L37&lt;&gt;"","_",""),IF(L37&lt;&gt;"",VLOOKUP(L37,Desagregations!$A:$B,2,0),""),IF(M37&lt;&gt;"","_",""),IF(M37&lt;&gt;"",VLOOKUP(M37,Desagregations!$A:$B,2,0),""),IF(N37&lt;&gt;"","_",""),IF(N37&lt;&gt;"",VLOOKUP(N37,Desagregations!$A:$B,2,0),""),IF(O37&lt;&gt;"","_",""),IF(O37&lt;&gt;"",VLOOKUP(O37,Desagregations!$A:$B,2,0),""),IF(P37&lt;&gt;"","_",""),IF(P37&lt;&gt;"",VLOOKUP(P37,Desagregations!$A:$B,2,0),"")),"-",VLOOKUP(D37,Unites!$A:$B,2,0),"-",VLOOKUP(E37,Sources!$A:$B,2,0),"-",VLOOKUP(F37,CommentaireValeurIndicateurs!$A:$B,2,0),"-",VLOOKUP(G37,NatureDonnees!$A:$B,2,0),"-",VLOOKUP(H37,Periodes!$A:$B,2,0))</f>
        <v>1281-1-6-4-25-3-1-26</v>
      </c>
      <c r="B37" s="2" t="s">
        <v>37</v>
      </c>
      <c r="C37" s="4" t="s">
        <v>136</v>
      </c>
      <c r="D37" t="s">
        <v>125</v>
      </c>
      <c r="E37" t="s">
        <v>99</v>
      </c>
      <c r="F37" s="4" t="s">
        <v>399</v>
      </c>
      <c r="G37" s="4" t="s">
        <v>400</v>
      </c>
      <c r="H37">
        <v>2025</v>
      </c>
      <c r="I37">
        <v>34</v>
      </c>
      <c r="K37" t="s">
        <v>77</v>
      </c>
    </row>
    <row r="38" spans="1:11" x14ac:dyDescent="0.25">
      <c r="A38" t="str">
        <f>_xlfn.CONCAT(VLOOKUP(B38,Indicateurs!$A:$B,2,0),"-",VLOOKUP(C38,Zones!$A:$B,2,0),"-",_xlfn.CONCAT(IF(K38&lt;&gt;"",VLOOKUP(K38,Desagregations!$A:$B,2,0),""),IF(L38&lt;&gt;"","_",""),IF(L38&lt;&gt;"",VLOOKUP(L38,Desagregations!$A:$B,2,0),""),IF(M38&lt;&gt;"","_",""),IF(M38&lt;&gt;"",VLOOKUP(M38,Desagregations!$A:$B,2,0),""),IF(N38&lt;&gt;"","_",""),IF(N38&lt;&gt;"",VLOOKUP(N38,Desagregations!$A:$B,2,0),""),IF(O38&lt;&gt;"","_",""),IF(O38&lt;&gt;"",VLOOKUP(O38,Desagregations!$A:$B,2,0),""),IF(P38&lt;&gt;"","_",""),IF(P38&lt;&gt;"",VLOOKUP(P38,Desagregations!$A:$B,2,0),"")),"-",VLOOKUP(D38,Unites!$A:$B,2,0),"-",VLOOKUP(E38,Sources!$A:$B,2,0),"-",VLOOKUP(F38,CommentaireValeurIndicateurs!$A:$B,2,0),"-",VLOOKUP(G38,NatureDonnees!$A:$B,2,0),"-",VLOOKUP(H38,Periodes!$A:$B,2,0))</f>
        <v>1282-1-6-4-25-3-1-26</v>
      </c>
      <c r="B38" s="2" t="s">
        <v>38</v>
      </c>
      <c r="C38" s="4" t="s">
        <v>136</v>
      </c>
      <c r="D38" t="s">
        <v>125</v>
      </c>
      <c r="E38" t="s">
        <v>99</v>
      </c>
      <c r="F38" s="4" t="s">
        <v>399</v>
      </c>
      <c r="G38" s="4" t="s">
        <v>400</v>
      </c>
      <c r="H38">
        <v>2025</v>
      </c>
      <c r="I38">
        <v>60</v>
      </c>
      <c r="K38" t="s">
        <v>77</v>
      </c>
    </row>
    <row r="39" spans="1:11" x14ac:dyDescent="0.25">
      <c r="A39" t="str">
        <f>_xlfn.CONCAT(VLOOKUP(B39,Indicateurs!$A:$B,2,0),"-",VLOOKUP(C39,Zones!$A:$B,2,0),"-",_xlfn.CONCAT(IF(K39&lt;&gt;"",VLOOKUP(K39,Desagregations!$A:$B,2,0),""),IF(L39&lt;&gt;"","_",""),IF(L39&lt;&gt;"",VLOOKUP(L39,Desagregations!$A:$B,2,0),""),IF(M39&lt;&gt;"","_",""),IF(M39&lt;&gt;"",VLOOKUP(M39,Desagregations!$A:$B,2,0),""),IF(N39&lt;&gt;"","_",""),IF(N39&lt;&gt;"",VLOOKUP(N39,Desagregations!$A:$B,2,0),""),IF(O39&lt;&gt;"","_",""),IF(O39&lt;&gt;"",VLOOKUP(O39,Desagregations!$A:$B,2,0),""),IF(P39&lt;&gt;"","_",""),IF(P39&lt;&gt;"",VLOOKUP(P39,Desagregations!$A:$B,2,0),"")),"-",VLOOKUP(D39,Unites!$A:$B,2,0),"-",VLOOKUP(E39,Sources!$A:$B,2,0),"-",VLOOKUP(F39,CommentaireValeurIndicateurs!$A:$B,2,0),"-",VLOOKUP(G39,NatureDonnees!$A:$B,2,0),"-",VLOOKUP(H39,Periodes!$A:$B,2,0))</f>
        <v>1283-1-6-4-26-3-1-26</v>
      </c>
      <c r="B39" s="2" t="s">
        <v>39</v>
      </c>
      <c r="C39" s="4" t="s">
        <v>136</v>
      </c>
      <c r="D39" t="s">
        <v>125</v>
      </c>
      <c r="E39" t="s">
        <v>100</v>
      </c>
      <c r="F39" s="4" t="s">
        <v>399</v>
      </c>
      <c r="G39" s="4" t="s">
        <v>400</v>
      </c>
      <c r="H39">
        <v>2025</v>
      </c>
      <c r="I39">
        <v>3.7</v>
      </c>
      <c r="K39" t="s">
        <v>77</v>
      </c>
    </row>
    <row r="40" spans="1:11" x14ac:dyDescent="0.25">
      <c r="A40" t="str">
        <f>_xlfn.CONCAT(VLOOKUP(B40,Indicateurs!$A:$B,2,0),"-",VLOOKUP(C40,Zones!$A:$B,2,0),"-",_xlfn.CONCAT(IF(K40&lt;&gt;"",VLOOKUP(K40,Desagregations!$A:$B,2,0),""),IF(L40&lt;&gt;"","_",""),IF(L40&lt;&gt;"",VLOOKUP(L40,Desagregations!$A:$B,2,0),""),IF(M40&lt;&gt;"","_",""),IF(M40&lt;&gt;"",VLOOKUP(M40,Desagregations!$A:$B,2,0),""),IF(N40&lt;&gt;"","_",""),IF(N40&lt;&gt;"",VLOOKUP(N40,Desagregations!$A:$B,2,0),""),IF(O40&lt;&gt;"","_",""),IF(O40&lt;&gt;"",VLOOKUP(O40,Desagregations!$A:$B,2,0),""),IF(P40&lt;&gt;"","_",""),IF(P40&lt;&gt;"",VLOOKUP(P40,Desagregations!$A:$B,2,0),"")),"-",VLOOKUP(D40,Unites!$A:$B,2,0),"-",VLOOKUP(E40,Sources!$A:$B,2,0),"-",VLOOKUP(F40,CommentaireValeurIndicateurs!$A:$B,2,0),"-",VLOOKUP(G40,NatureDonnees!$A:$B,2,0),"-",VLOOKUP(H40,Periodes!$A:$B,2,0))</f>
        <v>1284-1-6-4-26-3-1-26</v>
      </c>
      <c r="B40" s="2" t="s">
        <v>40</v>
      </c>
      <c r="C40" s="4" t="s">
        <v>136</v>
      </c>
      <c r="D40" t="s">
        <v>125</v>
      </c>
      <c r="E40" t="s">
        <v>100</v>
      </c>
      <c r="F40" s="4" t="s">
        <v>399</v>
      </c>
      <c r="G40" s="4" t="s">
        <v>400</v>
      </c>
      <c r="H40">
        <v>2025</v>
      </c>
      <c r="I40">
        <v>7.1</v>
      </c>
      <c r="K40" t="s">
        <v>77</v>
      </c>
    </row>
    <row r="41" spans="1:11" x14ac:dyDescent="0.25">
      <c r="A41" t="str">
        <f>_xlfn.CONCAT(VLOOKUP(B41,Indicateurs!$A:$B,2,0),"-",VLOOKUP(C41,Zones!$A:$B,2,0),"-",_xlfn.CONCAT(IF(K41&lt;&gt;"",VLOOKUP(K41,Desagregations!$A:$B,2,0),""),IF(L41&lt;&gt;"","_",""),IF(L41&lt;&gt;"",VLOOKUP(L41,Desagregations!$A:$B,2,0),""),IF(M41&lt;&gt;"","_",""),IF(M41&lt;&gt;"",VLOOKUP(M41,Desagregations!$A:$B,2,0),""),IF(N41&lt;&gt;"","_",""),IF(N41&lt;&gt;"",VLOOKUP(N41,Desagregations!$A:$B,2,0),""),IF(O41&lt;&gt;"","_",""),IF(O41&lt;&gt;"",VLOOKUP(O41,Desagregations!$A:$B,2,0),""),IF(P41&lt;&gt;"","_",""),IF(P41&lt;&gt;"",VLOOKUP(P41,Desagregations!$A:$B,2,0),"")),"-",VLOOKUP(D41,Unites!$A:$B,2,0),"-",VLOOKUP(E41,Sources!$A:$B,2,0),"-",VLOOKUP(F41,CommentaireValeurIndicateurs!$A:$B,2,0),"-",VLOOKUP(G41,NatureDonnees!$A:$B,2,0),"-",VLOOKUP(H41,Periodes!$A:$B,2,0))</f>
        <v>1285-1-6-4-27-3-1-26</v>
      </c>
      <c r="B41" s="2" t="s">
        <v>41</v>
      </c>
      <c r="C41" s="4" t="s">
        <v>136</v>
      </c>
      <c r="D41" t="s">
        <v>125</v>
      </c>
      <c r="E41" t="s">
        <v>101</v>
      </c>
      <c r="F41" s="4" t="s">
        <v>399</v>
      </c>
      <c r="G41" s="4" t="s">
        <v>400</v>
      </c>
      <c r="H41">
        <v>2025</v>
      </c>
      <c r="I41">
        <v>29.8</v>
      </c>
      <c r="K41" t="s">
        <v>77</v>
      </c>
    </row>
    <row r="42" spans="1:11" x14ac:dyDescent="0.25">
      <c r="A42" t="str">
        <f>_xlfn.CONCAT(VLOOKUP(B42,Indicateurs!$A:$B,2,0),"-",VLOOKUP(C42,Zones!$A:$B,2,0),"-",_xlfn.CONCAT(IF(K42&lt;&gt;"",VLOOKUP(K42,Desagregations!$A:$B,2,0),""),IF(L42&lt;&gt;"","_",""),IF(L42&lt;&gt;"",VLOOKUP(L42,Desagregations!$A:$B,2,0),""),IF(M42&lt;&gt;"","_",""),IF(M42&lt;&gt;"",VLOOKUP(M42,Desagregations!$A:$B,2,0),""),IF(N42&lt;&gt;"","_",""),IF(N42&lt;&gt;"",VLOOKUP(N42,Desagregations!$A:$B,2,0),""),IF(O42&lt;&gt;"","_",""),IF(O42&lt;&gt;"",VLOOKUP(O42,Desagregations!$A:$B,2,0),""),IF(P42&lt;&gt;"","_",""),IF(P42&lt;&gt;"",VLOOKUP(P42,Desagregations!$A:$B,2,0),"")),"-",VLOOKUP(D42,Unites!$A:$B,2,0),"-",VLOOKUP(E42,Sources!$A:$B,2,0),"-",VLOOKUP(F42,CommentaireValeurIndicateurs!$A:$B,2,0),"-",VLOOKUP(G42,NatureDonnees!$A:$B,2,0),"-",VLOOKUP(H42,Periodes!$A:$B,2,0))</f>
        <v>1286-1-6-10-28-3-1-26</v>
      </c>
      <c r="B42" s="2" t="s">
        <v>42</v>
      </c>
      <c r="C42" s="4" t="s">
        <v>136</v>
      </c>
      <c r="D42" t="s">
        <v>131</v>
      </c>
      <c r="E42" t="s">
        <v>102</v>
      </c>
      <c r="F42" s="4" t="s">
        <v>399</v>
      </c>
      <c r="G42" s="4" t="s">
        <v>400</v>
      </c>
      <c r="H42">
        <v>2025</v>
      </c>
      <c r="I42">
        <v>12.31</v>
      </c>
      <c r="K42" t="s">
        <v>77</v>
      </c>
    </row>
    <row r="43" spans="1:11" x14ac:dyDescent="0.25">
      <c r="A43" t="str">
        <f>_xlfn.CONCAT(VLOOKUP(B43,Indicateurs!$A:$B,2,0),"-",VLOOKUP(C43,Zones!$A:$B,2,0),"-",_xlfn.CONCAT(IF(K43&lt;&gt;"",VLOOKUP(K43,Desagregations!$A:$B,2,0),""),IF(L43&lt;&gt;"","_",""),IF(L43&lt;&gt;"",VLOOKUP(L43,Desagregations!$A:$B,2,0),""),IF(M43&lt;&gt;"","_",""),IF(M43&lt;&gt;"",VLOOKUP(M43,Desagregations!$A:$B,2,0),""),IF(N43&lt;&gt;"","_",""),IF(N43&lt;&gt;"",VLOOKUP(N43,Desagregations!$A:$B,2,0),""),IF(O43&lt;&gt;"","_",""),IF(O43&lt;&gt;"",VLOOKUP(O43,Desagregations!$A:$B,2,0),""),IF(P43&lt;&gt;"","_",""),IF(P43&lt;&gt;"",VLOOKUP(P43,Desagregations!$A:$B,2,0),"")),"-",VLOOKUP(D43,Unites!$A:$B,2,0),"-",VLOOKUP(E43,Sources!$A:$B,2,0),"-",VLOOKUP(F43,CommentaireValeurIndicateurs!$A:$B,2,0),"-",VLOOKUP(G43,NatureDonnees!$A:$B,2,0),"-",VLOOKUP(H43,Periodes!$A:$B,2,0))</f>
        <v>1287-1-6-6-29-3-1-26</v>
      </c>
      <c r="B43" s="2" t="s">
        <v>43</v>
      </c>
      <c r="C43" s="4" t="s">
        <v>136</v>
      </c>
      <c r="D43" t="s">
        <v>127</v>
      </c>
      <c r="E43" t="s">
        <v>103</v>
      </c>
      <c r="F43" s="4" t="s">
        <v>399</v>
      </c>
      <c r="G43" s="4" t="s">
        <v>400</v>
      </c>
      <c r="H43">
        <v>2025</v>
      </c>
      <c r="I43">
        <v>24</v>
      </c>
      <c r="K43" t="s">
        <v>77</v>
      </c>
    </row>
    <row r="44" spans="1:11" x14ac:dyDescent="0.25">
      <c r="A44" t="str">
        <f>_xlfn.CONCAT(VLOOKUP(B44,Indicateurs!$A:$B,2,0),"-",VLOOKUP(C44,Zones!$A:$B,2,0),"-",_xlfn.CONCAT(IF(K44&lt;&gt;"",VLOOKUP(K44,Desagregations!$A:$B,2,0),""),IF(L44&lt;&gt;"","_",""),IF(L44&lt;&gt;"",VLOOKUP(L44,Desagregations!$A:$B,2,0),""),IF(M44&lt;&gt;"","_",""),IF(M44&lt;&gt;"",VLOOKUP(M44,Desagregations!$A:$B,2,0),""),IF(N44&lt;&gt;"","_",""),IF(N44&lt;&gt;"",VLOOKUP(N44,Desagregations!$A:$B,2,0),""),IF(O44&lt;&gt;"","_",""),IF(O44&lt;&gt;"",VLOOKUP(O44,Desagregations!$A:$B,2,0),""),IF(P44&lt;&gt;"","_",""),IF(P44&lt;&gt;"",VLOOKUP(P44,Desagregations!$A:$B,2,0),"")),"-",VLOOKUP(D44,Unites!$A:$B,2,0),"-",VLOOKUP(E44,Sources!$A:$B,2,0),"-",VLOOKUP(F44,CommentaireValeurIndicateurs!$A:$B,2,0),"-",VLOOKUP(G44,NatureDonnees!$A:$B,2,0),"-",VLOOKUP(H44,Periodes!$A:$B,2,0))</f>
        <v>1288-1-6-4-30-3-1-26</v>
      </c>
      <c r="B44" s="2" t="s">
        <v>44</v>
      </c>
      <c r="C44" s="4" t="s">
        <v>136</v>
      </c>
      <c r="D44" t="s">
        <v>125</v>
      </c>
      <c r="E44" s="4" t="s">
        <v>104</v>
      </c>
      <c r="F44" s="4" t="s">
        <v>399</v>
      </c>
      <c r="G44" s="4" t="s">
        <v>400</v>
      </c>
      <c r="H44">
        <v>2025</v>
      </c>
      <c r="I44">
        <v>75</v>
      </c>
      <c r="K44" t="s">
        <v>77</v>
      </c>
    </row>
    <row r="45" spans="1:11" x14ac:dyDescent="0.25">
      <c r="A45" t="str">
        <f>_xlfn.CONCAT(VLOOKUP(B45,Indicateurs!$A:$B,2,0),"-",VLOOKUP(C45,Zones!$A:$B,2,0),"-",_xlfn.CONCAT(IF(K45&lt;&gt;"",VLOOKUP(K45,Desagregations!$A:$B,2,0),""),IF(L45&lt;&gt;"","_",""),IF(L45&lt;&gt;"",VLOOKUP(L45,Desagregations!$A:$B,2,0),""),IF(M45&lt;&gt;"","_",""),IF(M45&lt;&gt;"",VLOOKUP(M45,Desagregations!$A:$B,2,0),""),IF(N45&lt;&gt;"","_",""),IF(N45&lt;&gt;"",VLOOKUP(N45,Desagregations!$A:$B,2,0),""),IF(O45&lt;&gt;"","_",""),IF(O45&lt;&gt;"",VLOOKUP(O45,Desagregations!$A:$B,2,0),""),IF(P45&lt;&gt;"","_",""),IF(P45&lt;&gt;"",VLOOKUP(P45,Desagregations!$A:$B,2,0),"")),"-",VLOOKUP(D45,Unites!$A:$B,2,0),"-",VLOOKUP(E45,Sources!$A:$B,2,0),"-",VLOOKUP(F45,CommentaireValeurIndicateurs!$A:$B,2,0),"-",VLOOKUP(G45,NatureDonnees!$A:$B,2,0),"-",VLOOKUP(H45,Periodes!$A:$B,2,0))</f>
        <v>1289-1-6-4-30-3-1-26</v>
      </c>
      <c r="B45" s="2" t="s">
        <v>45</v>
      </c>
      <c r="C45" s="4" t="s">
        <v>136</v>
      </c>
      <c r="D45" t="s">
        <v>125</v>
      </c>
      <c r="E45" s="4" t="s">
        <v>104</v>
      </c>
      <c r="F45" s="4" t="s">
        <v>399</v>
      </c>
      <c r="G45" s="4" t="s">
        <v>400</v>
      </c>
      <c r="H45">
        <v>2025</v>
      </c>
      <c r="I45">
        <v>62</v>
      </c>
      <c r="K45" t="s">
        <v>77</v>
      </c>
    </row>
    <row r="46" spans="1:11" x14ac:dyDescent="0.25">
      <c r="A46" t="str">
        <f>_xlfn.CONCAT(VLOOKUP(B46,Indicateurs!$A:$B,2,0),"-",VLOOKUP(C46,Zones!$A:$B,2,0),"-",_xlfn.CONCAT(IF(K46&lt;&gt;"",VLOOKUP(K46,Desagregations!$A:$B,2,0),""),IF(L46&lt;&gt;"","_",""),IF(L46&lt;&gt;"",VLOOKUP(L46,Desagregations!$A:$B,2,0),""),IF(M46&lt;&gt;"","_",""),IF(M46&lt;&gt;"",VLOOKUP(M46,Desagregations!$A:$B,2,0),""),IF(N46&lt;&gt;"","_",""),IF(N46&lt;&gt;"",VLOOKUP(N46,Desagregations!$A:$B,2,0),""),IF(O46&lt;&gt;"","_",""),IF(O46&lt;&gt;"",VLOOKUP(O46,Desagregations!$A:$B,2,0),""),IF(P46&lt;&gt;"","_",""),IF(P46&lt;&gt;"",VLOOKUP(P46,Desagregations!$A:$B,2,0),"")),"-",VLOOKUP(D46,Unites!$A:$B,2,0),"-",VLOOKUP(E46,Sources!$A:$B,2,0),"-",VLOOKUP(F46,CommentaireValeurIndicateurs!$A:$B,2,0),"-",VLOOKUP(G46,NatureDonnees!$A:$B,2,0),"-",VLOOKUP(H46,Periodes!$A:$B,2,0))</f>
        <v>1290-1-6-4-4-3-1-26</v>
      </c>
      <c r="B46" s="2" t="s">
        <v>46</v>
      </c>
      <c r="C46" s="4" t="s">
        <v>136</v>
      </c>
      <c r="D46" t="s">
        <v>125</v>
      </c>
      <c r="E46" t="s">
        <v>78</v>
      </c>
      <c r="F46" s="4" t="s">
        <v>399</v>
      </c>
      <c r="G46" s="4" t="s">
        <v>400</v>
      </c>
      <c r="H46">
        <v>2025</v>
      </c>
      <c r="I46">
        <v>38.5</v>
      </c>
      <c r="K46" t="s">
        <v>77</v>
      </c>
    </row>
    <row r="47" spans="1:11" x14ac:dyDescent="0.25">
      <c r="A47" t="str">
        <f>_xlfn.CONCAT(VLOOKUP(B47,Indicateurs!$A:$B,2,0),"-",VLOOKUP(C47,Zones!$A:$B,2,0),"-",_xlfn.CONCAT(IF(K47&lt;&gt;"",VLOOKUP(K47,Desagregations!$A:$B,2,0),""),IF(L47&lt;&gt;"","_",""),IF(L47&lt;&gt;"",VLOOKUP(L47,Desagregations!$A:$B,2,0),""),IF(M47&lt;&gt;"","_",""),IF(M47&lt;&gt;"",VLOOKUP(M47,Desagregations!$A:$B,2,0),""),IF(N47&lt;&gt;"","_",""),IF(N47&lt;&gt;"",VLOOKUP(N47,Desagregations!$A:$B,2,0),""),IF(O47&lt;&gt;"","_",""),IF(O47&lt;&gt;"",VLOOKUP(O47,Desagregations!$A:$B,2,0),""),IF(P47&lt;&gt;"","_",""),IF(P47&lt;&gt;"",VLOOKUP(P47,Desagregations!$A:$B,2,0),"")),"-",VLOOKUP(D47,Unites!$A:$B,2,0),"-",VLOOKUP(E47,Sources!$A:$B,2,0),"-",VLOOKUP(F47,CommentaireValeurIndicateurs!$A:$B,2,0),"-",VLOOKUP(G47,NatureDonnees!$A:$B,2,0),"-",VLOOKUP(H47,Periodes!$A:$B,2,0))</f>
        <v>1291-1-6-11-31-3-1-26</v>
      </c>
      <c r="B47" s="2" t="s">
        <v>47</v>
      </c>
      <c r="C47" s="4" t="s">
        <v>136</v>
      </c>
      <c r="D47" t="s">
        <v>132</v>
      </c>
      <c r="E47" t="s">
        <v>105</v>
      </c>
      <c r="F47" s="4" t="s">
        <v>399</v>
      </c>
      <c r="G47" s="4" t="s">
        <v>400</v>
      </c>
      <c r="H47">
        <v>2025</v>
      </c>
      <c r="I47">
        <v>65</v>
      </c>
      <c r="K47" t="s">
        <v>77</v>
      </c>
    </row>
    <row r="48" spans="1:11" x14ac:dyDescent="0.25">
      <c r="A48" t="str">
        <f>_xlfn.CONCAT(VLOOKUP(B48,Indicateurs!$A:$B,2,0),"-",VLOOKUP(C48,Zones!$A:$B,2,0),"-",_xlfn.CONCAT(IF(K48&lt;&gt;"",VLOOKUP(K48,Desagregations!$A:$B,2,0),""),IF(L48&lt;&gt;"","_",""),IF(L48&lt;&gt;"",VLOOKUP(L48,Desagregations!$A:$B,2,0),""),IF(M48&lt;&gt;"","_",""),IF(M48&lt;&gt;"",VLOOKUP(M48,Desagregations!$A:$B,2,0),""),IF(N48&lt;&gt;"","_",""),IF(N48&lt;&gt;"",VLOOKUP(N48,Desagregations!$A:$B,2,0),""),IF(O48&lt;&gt;"","_",""),IF(O48&lt;&gt;"",VLOOKUP(O48,Desagregations!$A:$B,2,0),""),IF(P48&lt;&gt;"","_",""),IF(P48&lt;&gt;"",VLOOKUP(P48,Desagregations!$A:$B,2,0),"")),"-",VLOOKUP(D48,Unites!$A:$B,2,0),"-",VLOOKUP(E48,Sources!$A:$B,2,0),"-",VLOOKUP(F48,CommentaireValeurIndicateurs!$A:$B,2,0),"-",VLOOKUP(G48,NatureDonnees!$A:$B,2,0),"-",VLOOKUP(H48,Periodes!$A:$B,2,0))</f>
        <v>1292-1-6-12-32-3-1-26</v>
      </c>
      <c r="B48" s="2" t="s">
        <v>48</v>
      </c>
      <c r="C48" s="4" t="s">
        <v>136</v>
      </c>
      <c r="D48" t="s">
        <v>133</v>
      </c>
      <c r="E48" t="s">
        <v>106</v>
      </c>
      <c r="F48" s="4" t="s">
        <v>399</v>
      </c>
      <c r="G48" s="4" t="s">
        <v>400</v>
      </c>
      <c r="H48">
        <v>2025</v>
      </c>
      <c r="I48">
        <v>287.2</v>
      </c>
      <c r="K48" t="s">
        <v>77</v>
      </c>
    </row>
    <row r="49" spans="1:11" x14ac:dyDescent="0.25">
      <c r="A49" t="str">
        <f>_xlfn.CONCAT(VLOOKUP(B49,Indicateurs!$A:$B,2,0),"-",VLOOKUP(C49,Zones!$A:$B,2,0),"-",_xlfn.CONCAT(IF(K49&lt;&gt;"",VLOOKUP(K49,Desagregations!$A:$B,2,0),""),IF(L49&lt;&gt;"","_",""),IF(L49&lt;&gt;"",VLOOKUP(L49,Desagregations!$A:$B,2,0),""),IF(M49&lt;&gt;"","_",""),IF(M49&lt;&gt;"",VLOOKUP(M49,Desagregations!$A:$B,2,0),""),IF(N49&lt;&gt;"","_",""),IF(N49&lt;&gt;"",VLOOKUP(N49,Desagregations!$A:$B,2,0),""),IF(O49&lt;&gt;"","_",""),IF(O49&lt;&gt;"",VLOOKUP(O49,Desagregations!$A:$B,2,0),""),IF(P49&lt;&gt;"","_",""),IF(P49&lt;&gt;"",VLOOKUP(P49,Desagregations!$A:$B,2,0),"")),"-",VLOOKUP(D49,Unites!$A:$B,2,0),"-",VLOOKUP(E49,Sources!$A:$B,2,0),"-",VLOOKUP(F49,CommentaireValeurIndicateurs!$A:$B,2,0),"-",VLOOKUP(G49,NatureDonnees!$A:$B,2,0),"-",VLOOKUP(H49,Periodes!$A:$B,2,0))</f>
        <v>1293-1-6-4-33-3-1-26</v>
      </c>
      <c r="B49" s="2" t="s">
        <v>49</v>
      </c>
      <c r="C49" s="4" t="s">
        <v>136</v>
      </c>
      <c r="D49" t="s">
        <v>125</v>
      </c>
      <c r="E49" t="s">
        <v>107</v>
      </c>
      <c r="F49" s="4" t="s">
        <v>399</v>
      </c>
      <c r="G49" s="4" t="s">
        <v>400</v>
      </c>
      <c r="H49">
        <v>2025</v>
      </c>
      <c r="I49">
        <v>44.3</v>
      </c>
      <c r="K49" t="s">
        <v>77</v>
      </c>
    </row>
    <row r="50" spans="1:11" x14ac:dyDescent="0.25">
      <c r="A50" t="str">
        <f>_xlfn.CONCAT(VLOOKUP(B50,Indicateurs!$A:$B,2,0),"-",VLOOKUP(C50,Zones!$A:$B,2,0),"-",_xlfn.CONCAT(IF(K50&lt;&gt;"",VLOOKUP(K50,Desagregations!$A:$B,2,0),""),IF(L50&lt;&gt;"","_",""),IF(L50&lt;&gt;"",VLOOKUP(L50,Desagregations!$A:$B,2,0),""),IF(M50&lt;&gt;"","_",""),IF(M50&lt;&gt;"",VLOOKUP(M50,Desagregations!$A:$B,2,0),""),IF(N50&lt;&gt;"","_",""),IF(N50&lt;&gt;"",VLOOKUP(N50,Desagregations!$A:$B,2,0),""),IF(O50&lt;&gt;"","_",""),IF(O50&lt;&gt;"",VLOOKUP(O50,Desagregations!$A:$B,2,0),""),IF(P50&lt;&gt;"","_",""),IF(P50&lt;&gt;"",VLOOKUP(P50,Desagregations!$A:$B,2,0),"")),"-",VLOOKUP(D50,Unites!$A:$B,2,0),"-",VLOOKUP(E50,Sources!$A:$B,2,0),"-",VLOOKUP(F50,CommentaireValeurIndicateurs!$A:$B,2,0),"-",VLOOKUP(G50,NatureDonnees!$A:$B,2,0),"-",VLOOKUP(H50,Periodes!$A:$B,2,0))</f>
        <v>1294-1-6-4-33-3-1-26</v>
      </c>
      <c r="B50" s="2" t="s">
        <v>50</v>
      </c>
      <c r="C50" s="4" t="s">
        <v>136</v>
      </c>
      <c r="D50" t="s">
        <v>125</v>
      </c>
      <c r="E50" t="s">
        <v>107</v>
      </c>
      <c r="F50" s="4" t="s">
        <v>399</v>
      </c>
      <c r="G50" s="4" t="s">
        <v>400</v>
      </c>
      <c r="H50">
        <v>2025</v>
      </c>
      <c r="I50">
        <v>13.6</v>
      </c>
      <c r="K50" t="s">
        <v>77</v>
      </c>
    </row>
    <row r="51" spans="1:11" x14ac:dyDescent="0.25">
      <c r="A51" t="str">
        <f>_xlfn.CONCAT(VLOOKUP(B51,Indicateurs!$A:$B,2,0),"-",VLOOKUP(C51,Zones!$A:$B,2,0),"-",_xlfn.CONCAT(IF(K51&lt;&gt;"",VLOOKUP(K51,Desagregations!$A:$B,2,0),""),IF(L51&lt;&gt;"","_",""),IF(L51&lt;&gt;"",VLOOKUP(L51,Desagregations!$A:$B,2,0),""),IF(M51&lt;&gt;"","_",""),IF(M51&lt;&gt;"",VLOOKUP(M51,Desagregations!$A:$B,2,0),""),IF(N51&lt;&gt;"","_",""),IF(N51&lt;&gt;"",VLOOKUP(N51,Desagregations!$A:$B,2,0),""),IF(O51&lt;&gt;"","_",""),IF(O51&lt;&gt;"",VLOOKUP(O51,Desagregations!$A:$B,2,0),""),IF(P51&lt;&gt;"","_",""),IF(P51&lt;&gt;"",VLOOKUP(P51,Desagregations!$A:$B,2,0),"")),"-",VLOOKUP(D51,Unites!$A:$B,2,0),"-",VLOOKUP(E51,Sources!$A:$B,2,0),"-",VLOOKUP(F51,CommentaireValeurIndicateurs!$A:$B,2,0),"-",VLOOKUP(G51,NatureDonnees!$A:$B,2,0),"-",VLOOKUP(H51,Periodes!$A:$B,2,0))</f>
        <v>1295-1-6-4-33-3-1-26</v>
      </c>
      <c r="B51" s="2" t="s">
        <v>51</v>
      </c>
      <c r="C51" s="4" t="s">
        <v>136</v>
      </c>
      <c r="D51" t="s">
        <v>125</v>
      </c>
      <c r="E51" t="s">
        <v>107</v>
      </c>
      <c r="F51" s="4" t="s">
        <v>399</v>
      </c>
      <c r="G51" s="4" t="s">
        <v>400</v>
      </c>
      <c r="H51">
        <v>2025</v>
      </c>
      <c r="I51">
        <v>7.95</v>
      </c>
      <c r="K51" t="s">
        <v>77</v>
      </c>
    </row>
    <row r="52" spans="1:11" x14ac:dyDescent="0.25">
      <c r="A52" t="str">
        <f>_xlfn.CONCAT(VLOOKUP(B52,Indicateurs!$A:$B,2,0),"-",VLOOKUP(C52,Zones!$A:$B,2,0),"-",_xlfn.CONCAT(IF(K52&lt;&gt;"",VLOOKUP(K52,Desagregations!$A:$B,2,0),""),IF(L52&lt;&gt;"","_",""),IF(L52&lt;&gt;"",VLOOKUP(L52,Desagregations!$A:$B,2,0),""),IF(M52&lt;&gt;"","_",""),IF(M52&lt;&gt;"",VLOOKUP(M52,Desagregations!$A:$B,2,0),""),IF(N52&lt;&gt;"","_",""),IF(N52&lt;&gt;"",VLOOKUP(N52,Desagregations!$A:$B,2,0),""),IF(O52&lt;&gt;"","_",""),IF(O52&lt;&gt;"",VLOOKUP(O52,Desagregations!$A:$B,2,0),""),IF(P52&lt;&gt;"","_",""),IF(P52&lt;&gt;"",VLOOKUP(P52,Desagregations!$A:$B,2,0),"")),"-",VLOOKUP(D52,Unites!$A:$B,2,0),"-",VLOOKUP(E52,Sources!$A:$B,2,0),"-",VLOOKUP(F52,CommentaireValeurIndicateurs!$A:$B,2,0),"-",VLOOKUP(G52,NatureDonnees!$A:$B,2,0),"-",VLOOKUP(H52,Periodes!$A:$B,2,0))</f>
        <v>1296-1-6-4-33-3-1-26</v>
      </c>
      <c r="B52" s="2" t="s">
        <v>52</v>
      </c>
      <c r="C52" s="4" t="s">
        <v>136</v>
      </c>
      <c r="D52" t="s">
        <v>125</v>
      </c>
      <c r="E52" t="s">
        <v>107</v>
      </c>
      <c r="F52" s="4" t="s">
        <v>399</v>
      </c>
      <c r="G52" s="4" t="s">
        <v>400</v>
      </c>
      <c r="H52">
        <v>2025</v>
      </c>
      <c r="I52">
        <v>14.68</v>
      </c>
      <c r="K52" t="s">
        <v>77</v>
      </c>
    </row>
    <row r="53" spans="1:11" x14ac:dyDescent="0.25">
      <c r="A53" t="str">
        <f>_xlfn.CONCAT(VLOOKUP(B53,Indicateurs!$A:$B,2,0),"-",VLOOKUP(C53,Zones!$A:$B,2,0),"-",_xlfn.CONCAT(IF(K53&lt;&gt;"",VLOOKUP(K53,Desagregations!$A:$B,2,0),""),IF(L53&lt;&gt;"","_",""),IF(L53&lt;&gt;"",VLOOKUP(L53,Desagregations!$A:$B,2,0),""),IF(M53&lt;&gt;"","_",""),IF(M53&lt;&gt;"",VLOOKUP(M53,Desagregations!$A:$B,2,0),""),IF(N53&lt;&gt;"","_",""),IF(N53&lt;&gt;"",VLOOKUP(N53,Desagregations!$A:$B,2,0),""),IF(O53&lt;&gt;"","_",""),IF(O53&lt;&gt;"",VLOOKUP(O53,Desagregations!$A:$B,2,0),""),IF(P53&lt;&gt;"","_",""),IF(P53&lt;&gt;"",VLOOKUP(P53,Desagregations!$A:$B,2,0),"")),"-",VLOOKUP(D53,Unites!$A:$B,2,0),"-",VLOOKUP(E53,Sources!$A:$B,2,0),"-",VLOOKUP(F53,CommentaireValeurIndicateurs!$A:$B,2,0),"-",VLOOKUP(G53,NatureDonnees!$A:$B,2,0),"-",VLOOKUP(H53,Periodes!$A:$B,2,0))</f>
        <v>1297-1-6-5-34-3-1-26</v>
      </c>
      <c r="B53" s="2" t="s">
        <v>53</v>
      </c>
      <c r="C53" s="4" t="s">
        <v>136</v>
      </c>
      <c r="D53" t="s">
        <v>126</v>
      </c>
      <c r="E53" t="s">
        <v>108</v>
      </c>
      <c r="F53" s="4" t="s">
        <v>399</v>
      </c>
      <c r="G53" s="4" t="s">
        <v>400</v>
      </c>
      <c r="H53">
        <v>2025</v>
      </c>
      <c r="I53">
        <v>2.86</v>
      </c>
      <c r="K53" t="s">
        <v>77</v>
      </c>
    </row>
    <row r="54" spans="1:11" x14ac:dyDescent="0.25">
      <c r="A54" t="str">
        <f>_xlfn.CONCAT(VLOOKUP(B54,Indicateurs!$A:$B,2,0),"-",VLOOKUP(C54,Zones!$A:$B,2,0),"-",_xlfn.CONCAT(IF(K54&lt;&gt;"",VLOOKUP(K54,Desagregations!$A:$B,2,0),""),IF(L54&lt;&gt;"","_",""),IF(L54&lt;&gt;"",VLOOKUP(L54,Desagregations!$A:$B,2,0),""),IF(M54&lt;&gt;"","_",""),IF(M54&lt;&gt;"",VLOOKUP(M54,Desagregations!$A:$B,2,0),""),IF(N54&lt;&gt;"","_",""),IF(N54&lt;&gt;"",VLOOKUP(N54,Desagregations!$A:$B,2,0),""),IF(O54&lt;&gt;"","_",""),IF(O54&lt;&gt;"",VLOOKUP(O54,Desagregations!$A:$B,2,0),""),IF(P54&lt;&gt;"","_",""),IF(P54&lt;&gt;"",VLOOKUP(P54,Desagregations!$A:$B,2,0),"")),"-",VLOOKUP(D54,Unites!$A:$B,2,0),"-",VLOOKUP(E54,Sources!$A:$B,2,0),"-",VLOOKUP(F54,CommentaireValeurIndicateurs!$A:$B,2,0),"-",VLOOKUP(G54,NatureDonnees!$A:$B,2,0),"-",VLOOKUP(H54,Periodes!$A:$B,2,0))</f>
        <v>1298-1-6-13-35-3-1-26</v>
      </c>
      <c r="B54" s="2" t="s">
        <v>54</v>
      </c>
      <c r="C54" s="4" t="s">
        <v>136</v>
      </c>
      <c r="D54" t="s">
        <v>134</v>
      </c>
      <c r="E54" t="s">
        <v>109</v>
      </c>
      <c r="F54" s="4" t="s">
        <v>399</v>
      </c>
      <c r="G54" s="4" t="s">
        <v>400</v>
      </c>
      <c r="H54">
        <v>2025</v>
      </c>
      <c r="I54">
        <v>61</v>
      </c>
      <c r="K54" t="s">
        <v>77</v>
      </c>
    </row>
    <row r="55" spans="1:11" x14ac:dyDescent="0.25">
      <c r="A55" t="str">
        <f>_xlfn.CONCAT(VLOOKUP(B55,Indicateurs!$A:$B,2,0),"-",VLOOKUP(C55,Zones!$A:$B,2,0),"-",_xlfn.CONCAT(IF(K55&lt;&gt;"",VLOOKUP(K55,Desagregations!$A:$B,2,0),""),IF(L55&lt;&gt;"","_",""),IF(L55&lt;&gt;"",VLOOKUP(L55,Desagregations!$A:$B,2,0),""),IF(M55&lt;&gt;"","_",""),IF(M55&lt;&gt;"",VLOOKUP(M55,Desagregations!$A:$B,2,0),""),IF(N55&lt;&gt;"","_",""),IF(N55&lt;&gt;"",VLOOKUP(N55,Desagregations!$A:$B,2,0),""),IF(O55&lt;&gt;"","_",""),IF(O55&lt;&gt;"",VLOOKUP(O55,Desagregations!$A:$B,2,0),""),IF(P55&lt;&gt;"","_",""),IF(P55&lt;&gt;"",VLOOKUP(P55,Desagregations!$A:$B,2,0),"")),"-",VLOOKUP(D55,Unites!$A:$B,2,0),"-",VLOOKUP(E55,Sources!$A:$B,2,0),"-",VLOOKUP(F55,CommentaireValeurIndicateurs!$A:$B,2,0),"-",VLOOKUP(G55,NatureDonnees!$A:$B,2,0),"-",VLOOKUP(H55,Periodes!$A:$B,2,0))</f>
        <v>1299-1-6-8-36-3-1-26</v>
      </c>
      <c r="B55" s="2" t="s">
        <v>55</v>
      </c>
      <c r="C55" s="4" t="s">
        <v>136</v>
      </c>
      <c r="D55" t="s">
        <v>129</v>
      </c>
      <c r="E55" t="s">
        <v>110</v>
      </c>
      <c r="F55" s="4" t="s">
        <v>399</v>
      </c>
      <c r="G55" s="4" t="s">
        <v>400</v>
      </c>
      <c r="H55">
        <v>2025</v>
      </c>
      <c r="I55">
        <v>2.0499999999999998</v>
      </c>
      <c r="K55" t="s">
        <v>77</v>
      </c>
    </row>
    <row r="56" spans="1:11" x14ac:dyDescent="0.25">
      <c r="A56" t="str">
        <f>_xlfn.CONCAT(VLOOKUP(B56,Indicateurs!$A:$B,2,0),"-",VLOOKUP(C56,Zones!$A:$B,2,0),"-",_xlfn.CONCAT(IF(K56&lt;&gt;"",VLOOKUP(K56,Desagregations!$A:$B,2,0),""),IF(L56&lt;&gt;"","_",""),IF(L56&lt;&gt;"",VLOOKUP(L56,Desagregations!$A:$B,2,0),""),IF(M56&lt;&gt;"","_",""),IF(M56&lt;&gt;"",VLOOKUP(M56,Desagregations!$A:$B,2,0),""),IF(N56&lt;&gt;"","_",""),IF(N56&lt;&gt;"",VLOOKUP(N56,Desagregations!$A:$B,2,0),""),IF(O56&lt;&gt;"","_",""),IF(O56&lt;&gt;"",VLOOKUP(O56,Desagregations!$A:$B,2,0),""),IF(P56&lt;&gt;"","_",""),IF(P56&lt;&gt;"",VLOOKUP(P56,Desagregations!$A:$B,2,0),"")),"-",VLOOKUP(D56,Unites!$A:$B,2,0),"-",VLOOKUP(E56,Sources!$A:$B,2,0),"-",VLOOKUP(F56,CommentaireValeurIndicateurs!$A:$B,2,0),"-",VLOOKUP(G56,NatureDonnees!$A:$B,2,0),"-",VLOOKUP(H56,Periodes!$A:$B,2,0))</f>
        <v>1300-1-6-4-25-3-1-26</v>
      </c>
      <c r="B56" s="2" t="s">
        <v>56</v>
      </c>
      <c r="C56" s="4" t="s">
        <v>136</v>
      </c>
      <c r="D56" t="s">
        <v>125</v>
      </c>
      <c r="E56" t="s">
        <v>99</v>
      </c>
      <c r="F56" s="4" t="s">
        <v>399</v>
      </c>
      <c r="G56" s="4" t="s">
        <v>400</v>
      </c>
      <c r="H56">
        <v>2025</v>
      </c>
      <c r="I56">
        <v>20</v>
      </c>
      <c r="K56" t="s">
        <v>77</v>
      </c>
    </row>
    <row r="57" spans="1:11" x14ac:dyDescent="0.25">
      <c r="A57" t="e">
        <f>_xlfn.CONCAT(VLOOKUP(B57,Indicateurs!$A:$B,2,0),"-",VLOOKUP(C57,Zones!$A:$B,2,0),"-",_xlfn.CONCAT(IF(K57&lt;&gt;"",VLOOKUP(K57,Desagregations!$A:$B,2,0),""),IF(L57&lt;&gt;"","_",""),IF(L57&lt;&gt;"",VLOOKUP(L57,Desagregations!$A:$B,2,0),""),IF(M57&lt;&gt;"","_",""),IF(M57&lt;&gt;"",VLOOKUP(M57,Desagregations!$A:$B,2,0),""),IF(N57&lt;&gt;"","_",""),IF(N57&lt;&gt;"",VLOOKUP(N57,Desagregations!$A:$B,2,0),""),IF(O57&lt;&gt;"","_",""),IF(O57&lt;&gt;"",VLOOKUP(O57,Desagregations!$A:$B,2,0),""),IF(P57&lt;&gt;"","_",""),IF(P57&lt;&gt;"",VLOOKUP(P57,Desagregations!$A:$B,2,0),"")),"-",VLOOKUP(D57,Unites!$A:$B,2,0),"-",VLOOKUP(E57,Sources!$A:$B,2,0),"-",VLOOKUP(F57,CommentaireValeurIndicateurs!$A:$B,2,0),"-",VLOOKUP(G57,NatureDonnees!$A:$B,2,0),"-",VLOOKUP(H57,Periodes!$A:$B,2,0))</f>
        <v>#N/A</v>
      </c>
      <c r="B57" s="5" t="s">
        <v>57</v>
      </c>
      <c r="C57" s="4" t="s">
        <v>136</v>
      </c>
      <c r="D57" t="s">
        <v>125</v>
      </c>
      <c r="E57" t="s">
        <v>112</v>
      </c>
      <c r="F57" s="4" t="s">
        <v>399</v>
      </c>
      <c r="G57" s="4" t="s">
        <v>400</v>
      </c>
      <c r="I57" s="6"/>
      <c r="K57" t="s">
        <v>77</v>
      </c>
    </row>
    <row r="58" spans="1:11" x14ac:dyDescent="0.25">
      <c r="A58" t="e">
        <f>_xlfn.CONCAT(VLOOKUP(B58,Indicateurs!$A:$B,2,0),"-",VLOOKUP(C58,Zones!$A:$B,2,0),"-",_xlfn.CONCAT(IF(K58&lt;&gt;"",VLOOKUP(K58,Desagregations!$A:$B,2,0),""),IF(L58&lt;&gt;"","_",""),IF(L58&lt;&gt;"",VLOOKUP(L58,Desagregations!$A:$B,2,0),""),IF(M58&lt;&gt;"","_",""),IF(M58&lt;&gt;"",VLOOKUP(M58,Desagregations!$A:$B,2,0),""),IF(N58&lt;&gt;"","_",""),IF(N58&lt;&gt;"",VLOOKUP(N58,Desagregations!$A:$B,2,0),""),IF(O58&lt;&gt;"","_",""),IF(O58&lt;&gt;"",VLOOKUP(O58,Desagregations!$A:$B,2,0),""),IF(P58&lt;&gt;"","_",""),IF(P58&lt;&gt;"",VLOOKUP(P58,Desagregations!$A:$B,2,0),"")),"-",VLOOKUP(D58,Unites!$A:$B,2,0),"-",VLOOKUP(E58,Sources!$A:$B,2,0),"-",VLOOKUP(F58,CommentaireValeurIndicateurs!$A:$B,2,0),"-",VLOOKUP(G58,NatureDonnees!$A:$B,2,0),"-",VLOOKUP(H58,Periodes!$A:$B,2,0))</f>
        <v>#N/A</v>
      </c>
      <c r="B58" s="5" t="s">
        <v>58</v>
      </c>
      <c r="C58" s="4" t="s">
        <v>136</v>
      </c>
      <c r="D58" t="s">
        <v>125</v>
      </c>
      <c r="E58" t="s">
        <v>113</v>
      </c>
      <c r="F58" s="4" t="s">
        <v>399</v>
      </c>
      <c r="G58" s="4" t="s">
        <v>400</v>
      </c>
      <c r="I58" s="6"/>
      <c r="K58" t="s">
        <v>77</v>
      </c>
    </row>
    <row r="59" spans="1:11" x14ac:dyDescent="0.25">
      <c r="A59" t="str">
        <f>_xlfn.CONCAT(VLOOKUP(B59,Indicateurs!$A:$B,2,0),"-",VLOOKUP(C59,Zones!$A:$B,2,0),"-",_xlfn.CONCAT(IF(K59&lt;&gt;"",VLOOKUP(K59,Desagregations!$A:$B,2,0),""),IF(L59&lt;&gt;"","_",""),IF(L59&lt;&gt;"",VLOOKUP(L59,Desagregations!$A:$B,2,0),""),IF(M59&lt;&gt;"","_",""),IF(M59&lt;&gt;"",VLOOKUP(M59,Desagregations!$A:$B,2,0),""),IF(N59&lt;&gt;"","_",""),IF(N59&lt;&gt;"",VLOOKUP(N59,Desagregations!$A:$B,2,0),""),IF(O59&lt;&gt;"","_",""),IF(O59&lt;&gt;"",VLOOKUP(O59,Desagregations!$A:$B,2,0),""),IF(P59&lt;&gt;"","_",""),IF(P59&lt;&gt;"",VLOOKUP(P59,Desagregations!$A:$B,2,0),"")),"-",VLOOKUP(D59,Unites!$A:$B,2,0),"-",VLOOKUP(E59,Sources!$A:$B,2,0),"-",VLOOKUP(F59,CommentaireValeurIndicateurs!$A:$B,2,0),"-",VLOOKUP(G59,NatureDonnees!$A:$B,2,0),"-",VLOOKUP(H59,Periodes!$A:$B,2,0))</f>
        <v>1303-1-6-4-40-3-1-26</v>
      </c>
      <c r="B59" s="2" t="s">
        <v>59</v>
      </c>
      <c r="C59" s="4" t="s">
        <v>136</v>
      </c>
      <c r="D59" t="s">
        <v>125</v>
      </c>
      <c r="E59" t="s">
        <v>114</v>
      </c>
      <c r="F59" s="4" t="s">
        <v>399</v>
      </c>
      <c r="G59" s="4" t="s">
        <v>400</v>
      </c>
      <c r="H59">
        <v>2025</v>
      </c>
      <c r="I59">
        <v>61.49</v>
      </c>
      <c r="K59" t="s">
        <v>77</v>
      </c>
    </row>
    <row r="60" spans="1:11" x14ac:dyDescent="0.25">
      <c r="A60" t="str">
        <f>_xlfn.CONCAT(VLOOKUP(B60,Indicateurs!$A:$B,2,0),"-",VLOOKUP(C60,Zones!$A:$B,2,0),"-",_xlfn.CONCAT(IF(K60&lt;&gt;"",VLOOKUP(K60,Desagregations!$A:$B,2,0),""),IF(L60&lt;&gt;"","_",""),IF(L60&lt;&gt;"",VLOOKUP(L60,Desagregations!$A:$B,2,0),""),IF(M60&lt;&gt;"","_",""),IF(M60&lt;&gt;"",VLOOKUP(M60,Desagregations!$A:$B,2,0),""),IF(N60&lt;&gt;"","_",""),IF(N60&lt;&gt;"",VLOOKUP(N60,Desagregations!$A:$B,2,0),""),IF(O60&lt;&gt;"","_",""),IF(O60&lt;&gt;"",VLOOKUP(O60,Desagregations!$A:$B,2,0),""),IF(P60&lt;&gt;"","_",""),IF(P60&lt;&gt;"",VLOOKUP(P60,Desagregations!$A:$B,2,0),"")),"-",VLOOKUP(D60,Unites!$A:$B,2,0),"-",VLOOKUP(E60,Sources!$A:$B,2,0),"-",VLOOKUP(F60,CommentaireValeurIndicateurs!$A:$B,2,0),"-",VLOOKUP(G60,NatureDonnees!$A:$B,2,0),"-",VLOOKUP(H60,Periodes!$A:$B,2,0))</f>
        <v>1304-1-6-4-41-3-1-26</v>
      </c>
      <c r="B60" s="2" t="s">
        <v>60</v>
      </c>
      <c r="C60" s="4" t="s">
        <v>136</v>
      </c>
      <c r="D60" t="s">
        <v>125</v>
      </c>
      <c r="E60" t="s">
        <v>115</v>
      </c>
      <c r="F60" s="4" t="s">
        <v>399</v>
      </c>
      <c r="G60" s="4" t="s">
        <v>400</v>
      </c>
      <c r="H60">
        <v>2025</v>
      </c>
      <c r="I60">
        <v>52.57</v>
      </c>
      <c r="K60" t="s">
        <v>77</v>
      </c>
    </row>
    <row r="61" spans="1:11" x14ac:dyDescent="0.25">
      <c r="A61" t="str">
        <f>_xlfn.CONCAT(VLOOKUP(B61,Indicateurs!$A:$B,2,0),"-",VLOOKUP(C61,Zones!$A:$B,2,0),"-",_xlfn.CONCAT(IF(K61&lt;&gt;"",VLOOKUP(K61,Desagregations!$A:$B,2,0),""),IF(L61&lt;&gt;"","_",""),IF(L61&lt;&gt;"",VLOOKUP(L61,Desagregations!$A:$B,2,0),""),IF(M61&lt;&gt;"","_",""),IF(M61&lt;&gt;"",VLOOKUP(M61,Desagregations!$A:$B,2,0),""),IF(N61&lt;&gt;"","_",""),IF(N61&lt;&gt;"",VLOOKUP(N61,Desagregations!$A:$B,2,0),""),IF(O61&lt;&gt;"","_",""),IF(O61&lt;&gt;"",VLOOKUP(O61,Desagregations!$A:$B,2,0),""),IF(P61&lt;&gt;"","_",""),IF(P61&lt;&gt;"",VLOOKUP(P61,Desagregations!$A:$B,2,0),"")),"-",VLOOKUP(D61,Unites!$A:$B,2,0),"-",VLOOKUP(E61,Sources!$A:$B,2,0),"-",VLOOKUP(F61,CommentaireValeurIndicateurs!$A:$B,2,0),"-",VLOOKUP(G61,NatureDonnees!$A:$B,2,0),"-",VLOOKUP(H61,Periodes!$A:$B,2,0))</f>
        <v>1305-1-6-4-42-3-1-26</v>
      </c>
      <c r="B61" s="2" t="s">
        <v>61</v>
      </c>
      <c r="C61" s="4" t="s">
        <v>136</v>
      </c>
      <c r="D61" t="s">
        <v>125</v>
      </c>
      <c r="E61" t="s">
        <v>116</v>
      </c>
      <c r="F61" s="4" t="s">
        <v>399</v>
      </c>
      <c r="G61" s="4" t="s">
        <v>400</v>
      </c>
      <c r="H61">
        <v>2025</v>
      </c>
      <c r="I61">
        <v>35</v>
      </c>
      <c r="K61" t="s">
        <v>77</v>
      </c>
    </row>
    <row r="62" spans="1:11" x14ac:dyDescent="0.25">
      <c r="A62" t="str">
        <f>_xlfn.CONCAT(VLOOKUP(B62,Indicateurs!$A:$B,2,0),"-",VLOOKUP(C62,Zones!$A:$B,2,0),"-",_xlfn.CONCAT(IF(K62&lt;&gt;"",VLOOKUP(K62,Desagregations!$A:$B,2,0),""),IF(L62&lt;&gt;"","_",""),IF(L62&lt;&gt;"",VLOOKUP(L62,Desagregations!$A:$B,2,0),""),IF(M62&lt;&gt;"","_",""),IF(M62&lt;&gt;"",VLOOKUP(M62,Desagregations!$A:$B,2,0),""),IF(N62&lt;&gt;"","_",""),IF(N62&lt;&gt;"",VLOOKUP(N62,Desagregations!$A:$B,2,0),""),IF(O62&lt;&gt;"","_",""),IF(O62&lt;&gt;"",VLOOKUP(O62,Desagregations!$A:$B,2,0),""),IF(P62&lt;&gt;"","_",""),IF(P62&lt;&gt;"",VLOOKUP(P62,Desagregations!$A:$B,2,0),"")),"-",VLOOKUP(D62,Unites!$A:$B,2,0),"-",VLOOKUP(E62,Sources!$A:$B,2,0),"-",VLOOKUP(F62,CommentaireValeurIndicateurs!$A:$B,2,0),"-",VLOOKUP(G62,NatureDonnees!$A:$B,2,0),"-",VLOOKUP(H62,Periodes!$A:$B,2,0))</f>
        <v>1306-1-6-4-43-3-1-26</v>
      </c>
      <c r="B62" s="2" t="s">
        <v>62</v>
      </c>
      <c r="C62" s="4" t="s">
        <v>136</v>
      </c>
      <c r="D62" t="s">
        <v>125</v>
      </c>
      <c r="E62" t="s">
        <v>117</v>
      </c>
      <c r="F62" s="4" t="s">
        <v>399</v>
      </c>
      <c r="G62" s="4" t="s">
        <v>400</v>
      </c>
      <c r="H62">
        <v>2025</v>
      </c>
      <c r="I62">
        <v>8.6999999999999993</v>
      </c>
      <c r="K62" t="s">
        <v>77</v>
      </c>
    </row>
    <row r="63" spans="1:11" x14ac:dyDescent="0.25">
      <c r="A63" t="str">
        <f>_xlfn.CONCAT(VLOOKUP(B63,Indicateurs!$A:$B,2,0),"-",VLOOKUP(C63,Zones!$A:$B,2,0),"-",_xlfn.CONCAT(IF(K63&lt;&gt;"",VLOOKUP(K63,Desagregations!$A:$B,2,0),""),IF(L63&lt;&gt;"","_",""),IF(L63&lt;&gt;"",VLOOKUP(L63,Desagregations!$A:$B,2,0),""),IF(M63&lt;&gt;"","_",""),IF(M63&lt;&gt;"",VLOOKUP(M63,Desagregations!$A:$B,2,0),""),IF(N63&lt;&gt;"","_",""),IF(N63&lt;&gt;"",VLOOKUP(N63,Desagregations!$A:$B,2,0),""),IF(O63&lt;&gt;"","_",""),IF(O63&lt;&gt;"",VLOOKUP(O63,Desagregations!$A:$B,2,0),""),IF(P63&lt;&gt;"","_",""),IF(P63&lt;&gt;"",VLOOKUP(P63,Desagregations!$A:$B,2,0),"")),"-",VLOOKUP(D63,Unites!$A:$B,2,0),"-",VLOOKUP(E63,Sources!$A:$B,2,0),"-",VLOOKUP(F63,CommentaireValeurIndicateurs!$A:$B,2,0),"-",VLOOKUP(G63,NatureDonnees!$A:$B,2,0),"-",VLOOKUP(H63,Periodes!$A:$B,2,0))</f>
        <v>1307-1-6-4-44-3-1-26</v>
      </c>
      <c r="B63" s="2" t="s">
        <v>63</v>
      </c>
      <c r="C63" s="4" t="s">
        <v>136</v>
      </c>
      <c r="D63" t="s">
        <v>125</v>
      </c>
      <c r="E63" t="s">
        <v>118</v>
      </c>
      <c r="F63" s="4" t="s">
        <v>399</v>
      </c>
      <c r="G63" s="4" t="s">
        <v>400</v>
      </c>
      <c r="H63">
        <v>2025</v>
      </c>
      <c r="I63">
        <v>45</v>
      </c>
      <c r="K63" t="s">
        <v>77</v>
      </c>
    </row>
    <row r="64" spans="1:11" x14ac:dyDescent="0.25">
      <c r="A64" t="str">
        <f>_xlfn.CONCAT(VLOOKUP(B64,Indicateurs!$A:$B,2,0),"-",VLOOKUP(C64,Zones!$A:$B,2,0),"-",_xlfn.CONCAT(IF(K64&lt;&gt;"",VLOOKUP(K64,Desagregations!$A:$B,2,0),""),IF(L64&lt;&gt;"","_",""),IF(L64&lt;&gt;"",VLOOKUP(L64,Desagregations!$A:$B,2,0),""),IF(M64&lt;&gt;"","_",""),IF(M64&lt;&gt;"",VLOOKUP(M64,Desagregations!$A:$B,2,0),""),IF(N64&lt;&gt;"","_",""),IF(N64&lt;&gt;"",VLOOKUP(N64,Desagregations!$A:$B,2,0),""),IF(O64&lt;&gt;"","_",""),IF(O64&lt;&gt;"",VLOOKUP(O64,Desagregations!$A:$B,2,0),""),IF(P64&lt;&gt;"","_",""),IF(P64&lt;&gt;"",VLOOKUP(P64,Desagregations!$A:$B,2,0),"")),"-",VLOOKUP(D64,Unites!$A:$B,2,0),"-",VLOOKUP(E64,Sources!$A:$B,2,0),"-",VLOOKUP(F64,CommentaireValeurIndicateurs!$A:$B,2,0),"-",VLOOKUP(G64,NatureDonnees!$A:$B,2,0),"-",VLOOKUP(H64,Periodes!$A:$B,2,0))</f>
        <v>1308-1-6-4-4-3-1-26</v>
      </c>
      <c r="B64" s="2" t="s">
        <v>64</v>
      </c>
      <c r="C64" s="4" t="s">
        <v>136</v>
      </c>
      <c r="D64" t="s">
        <v>125</v>
      </c>
      <c r="E64" t="s">
        <v>78</v>
      </c>
      <c r="F64" s="4" t="s">
        <v>399</v>
      </c>
      <c r="G64" s="4" t="s">
        <v>400</v>
      </c>
      <c r="H64">
        <v>2025</v>
      </c>
      <c r="I64">
        <v>62.1</v>
      </c>
      <c r="K64" t="s">
        <v>77</v>
      </c>
    </row>
    <row r="65" spans="1:11" x14ac:dyDescent="0.25">
      <c r="A65" t="str">
        <f>_xlfn.CONCAT(VLOOKUP(B65,Indicateurs!$A:$B,2,0),"-",VLOOKUP(C65,Zones!$A:$B,2,0),"-",_xlfn.CONCAT(IF(K65&lt;&gt;"",VLOOKUP(K65,Desagregations!$A:$B,2,0),""),IF(L65&lt;&gt;"","_",""),IF(L65&lt;&gt;"",VLOOKUP(L65,Desagregations!$A:$B,2,0),""),IF(M65&lt;&gt;"","_",""),IF(M65&lt;&gt;"",VLOOKUP(M65,Desagregations!$A:$B,2,0),""),IF(N65&lt;&gt;"","_",""),IF(N65&lt;&gt;"",VLOOKUP(N65,Desagregations!$A:$B,2,0),""),IF(O65&lt;&gt;"","_",""),IF(O65&lt;&gt;"",VLOOKUP(O65,Desagregations!$A:$B,2,0),""),IF(P65&lt;&gt;"","_",""),IF(P65&lt;&gt;"",VLOOKUP(P65,Desagregations!$A:$B,2,0),"")),"-",VLOOKUP(D65,Unites!$A:$B,2,0),"-",VLOOKUP(E65,Sources!$A:$B,2,0),"-",VLOOKUP(F65,CommentaireValeurIndicateurs!$A:$B,2,0),"-",VLOOKUP(G65,NatureDonnees!$A:$B,2,0),"-",VLOOKUP(H65,Periodes!$A:$B,2,0))</f>
        <v>1309-1-6-4-45-3-1-26</v>
      </c>
      <c r="B65" s="2" t="s">
        <v>65</v>
      </c>
      <c r="C65" s="4" t="s">
        <v>136</v>
      </c>
      <c r="D65" t="s">
        <v>125</v>
      </c>
      <c r="E65" t="s">
        <v>119</v>
      </c>
      <c r="F65" s="4" t="s">
        <v>399</v>
      </c>
      <c r="G65" s="4" t="s">
        <v>400</v>
      </c>
      <c r="H65">
        <v>2025</v>
      </c>
      <c r="I65">
        <v>23.2</v>
      </c>
      <c r="K65" t="s">
        <v>77</v>
      </c>
    </row>
    <row r="66" spans="1:11" x14ac:dyDescent="0.25">
      <c r="A66" t="str">
        <f>_xlfn.CONCAT(VLOOKUP(B66,Indicateurs!$A:$B,2,0),"-",VLOOKUP(C66,Zones!$A:$B,2,0),"-",_xlfn.CONCAT(IF(K66&lt;&gt;"",VLOOKUP(K66,Desagregations!$A:$B,2,0),""),IF(L66&lt;&gt;"","_",""),IF(L66&lt;&gt;"",VLOOKUP(L66,Desagregations!$A:$B,2,0),""),IF(M66&lt;&gt;"","_",""),IF(M66&lt;&gt;"",VLOOKUP(M66,Desagregations!$A:$B,2,0),""),IF(N66&lt;&gt;"","_",""),IF(N66&lt;&gt;"",VLOOKUP(N66,Desagregations!$A:$B,2,0),""),IF(O66&lt;&gt;"","_",""),IF(O66&lt;&gt;"",VLOOKUP(O66,Desagregations!$A:$B,2,0),""),IF(P66&lt;&gt;"","_",""),IF(P66&lt;&gt;"",VLOOKUP(P66,Desagregations!$A:$B,2,0),"")),"-",VLOOKUP(D66,Unites!$A:$B,2,0),"-",VLOOKUP(E66,Sources!$A:$B,2,0),"-",VLOOKUP(F66,CommentaireValeurIndicateurs!$A:$B,2,0),"-",VLOOKUP(G66,NatureDonnees!$A:$B,2,0),"-",VLOOKUP(H66,Periodes!$A:$B,2,0))</f>
        <v>1310-1-6-4-4-3-1-26</v>
      </c>
      <c r="B66" s="2" t="s">
        <v>66</v>
      </c>
      <c r="C66" s="4" t="s">
        <v>136</v>
      </c>
      <c r="D66" t="s">
        <v>125</v>
      </c>
      <c r="E66" t="s">
        <v>78</v>
      </c>
      <c r="F66" s="4" t="s">
        <v>399</v>
      </c>
      <c r="G66" s="4" t="s">
        <v>400</v>
      </c>
      <c r="H66">
        <v>2025</v>
      </c>
      <c r="I66">
        <v>9.4</v>
      </c>
      <c r="K66" t="s">
        <v>77</v>
      </c>
    </row>
    <row r="67" spans="1:11" x14ac:dyDescent="0.25">
      <c r="A67" t="str">
        <f>_xlfn.CONCAT(VLOOKUP(B67,Indicateurs!$A:$B,2,0),"-",VLOOKUP(C67,Zones!$A:$B,2,0),"-",_xlfn.CONCAT(IF(K67&lt;&gt;"",VLOOKUP(K67,Desagregations!$A:$B,2,0),""),IF(L67&lt;&gt;"","_",""),IF(L67&lt;&gt;"",VLOOKUP(L67,Desagregations!$A:$B,2,0),""),IF(M67&lt;&gt;"","_",""),IF(M67&lt;&gt;"",VLOOKUP(M67,Desagregations!$A:$B,2,0),""),IF(N67&lt;&gt;"","_",""),IF(N67&lt;&gt;"",VLOOKUP(N67,Desagregations!$A:$B,2,0),""),IF(O67&lt;&gt;"","_",""),IF(O67&lt;&gt;"",VLOOKUP(O67,Desagregations!$A:$B,2,0),""),IF(P67&lt;&gt;"","_",""),IF(P67&lt;&gt;"",VLOOKUP(P67,Desagregations!$A:$B,2,0),"")),"-",VLOOKUP(D67,Unites!$A:$B,2,0),"-",VLOOKUP(E67,Sources!$A:$B,2,0),"-",VLOOKUP(F67,CommentaireValeurIndicateurs!$A:$B,2,0),"-",VLOOKUP(G67,NatureDonnees!$A:$B,2,0),"-",VLOOKUP(H67,Periodes!$A:$B,2,0))</f>
        <v>1311-1-6-4-46-3-1-26</v>
      </c>
      <c r="B67" s="2" t="s">
        <v>67</v>
      </c>
      <c r="C67" s="4" t="s">
        <v>136</v>
      </c>
      <c r="D67" t="s">
        <v>125</v>
      </c>
      <c r="E67" t="s">
        <v>120</v>
      </c>
      <c r="F67" s="4" t="s">
        <v>399</v>
      </c>
      <c r="G67" s="4" t="s">
        <v>400</v>
      </c>
      <c r="H67">
        <v>2025</v>
      </c>
      <c r="I67">
        <v>90.47</v>
      </c>
      <c r="K67" t="s">
        <v>77</v>
      </c>
    </row>
    <row r="68" spans="1:11" x14ac:dyDescent="0.25">
      <c r="A68" t="str">
        <f>_xlfn.CONCAT(VLOOKUP(B68,Indicateurs!$A:$B,2,0),"-",VLOOKUP(C68,Zones!$A:$B,2,0),"-",_xlfn.CONCAT(IF(K68&lt;&gt;"",VLOOKUP(K68,Desagregations!$A:$B,2,0),""),IF(L68&lt;&gt;"","_",""),IF(L68&lt;&gt;"",VLOOKUP(L68,Desagregations!$A:$B,2,0),""),IF(M68&lt;&gt;"","_",""),IF(M68&lt;&gt;"",VLOOKUP(M68,Desagregations!$A:$B,2,0),""),IF(N68&lt;&gt;"","_",""),IF(N68&lt;&gt;"",VLOOKUP(N68,Desagregations!$A:$B,2,0),""),IF(O68&lt;&gt;"","_",""),IF(O68&lt;&gt;"",VLOOKUP(O68,Desagregations!$A:$B,2,0),""),IF(P68&lt;&gt;"","_",""),IF(P68&lt;&gt;"",VLOOKUP(P68,Desagregations!$A:$B,2,0),"")),"-",VLOOKUP(D68,Unites!$A:$B,2,0),"-",VLOOKUP(E68,Sources!$A:$B,2,0),"-",VLOOKUP(F68,CommentaireValeurIndicateurs!$A:$B,2,0),"-",VLOOKUP(G68,NatureDonnees!$A:$B,2,0),"-",VLOOKUP(H68,Periodes!$A:$B,2,0))</f>
        <v>1312-1-6-4-46-3-1-26</v>
      </c>
      <c r="B68" s="2" t="s">
        <v>68</v>
      </c>
      <c r="C68" s="4" t="s">
        <v>136</v>
      </c>
      <c r="D68" t="s">
        <v>125</v>
      </c>
      <c r="E68" t="s">
        <v>120</v>
      </c>
      <c r="F68" s="4" t="s">
        <v>399</v>
      </c>
      <c r="G68" s="4" t="s">
        <v>400</v>
      </c>
      <c r="H68">
        <v>2025</v>
      </c>
      <c r="I68">
        <v>55.83</v>
      </c>
      <c r="K68" t="s">
        <v>77</v>
      </c>
    </row>
    <row r="69" spans="1:11" x14ac:dyDescent="0.25">
      <c r="A69" t="str">
        <f>_xlfn.CONCAT(VLOOKUP(B69,Indicateurs!$A:$B,2,0),"-",VLOOKUP(C69,Zones!$A:$B,2,0),"-",_xlfn.CONCAT(IF(K69&lt;&gt;"",VLOOKUP(K69,Desagregations!$A:$B,2,0),""),IF(L69&lt;&gt;"","_",""),IF(L69&lt;&gt;"",VLOOKUP(L69,Desagregations!$A:$B,2,0),""),IF(M69&lt;&gt;"","_",""),IF(M69&lt;&gt;"",VLOOKUP(M69,Desagregations!$A:$B,2,0),""),IF(N69&lt;&gt;"","_",""),IF(N69&lt;&gt;"",VLOOKUP(N69,Desagregations!$A:$B,2,0),""),IF(O69&lt;&gt;"","_",""),IF(O69&lt;&gt;"",VLOOKUP(O69,Desagregations!$A:$B,2,0),""),IF(P69&lt;&gt;"","_",""),IF(P69&lt;&gt;"",VLOOKUP(P69,Desagregations!$A:$B,2,0),"")),"-",VLOOKUP(D69,Unites!$A:$B,2,0),"-",VLOOKUP(E69,Sources!$A:$B,2,0),"-",VLOOKUP(F69,CommentaireValeurIndicateurs!$A:$B,2,0),"-",VLOOKUP(G69,NatureDonnees!$A:$B,2,0),"-",VLOOKUP(H69,Periodes!$A:$B,2,0))</f>
        <v>1313-1-6-4-47-3-1-26</v>
      </c>
      <c r="B69" s="2" t="s">
        <v>69</v>
      </c>
      <c r="C69" s="4" t="s">
        <v>136</v>
      </c>
      <c r="D69" t="s">
        <v>125</v>
      </c>
      <c r="E69" t="s">
        <v>121</v>
      </c>
      <c r="F69" s="4" t="s">
        <v>399</v>
      </c>
      <c r="G69" s="4" t="s">
        <v>400</v>
      </c>
      <c r="H69">
        <v>2025</v>
      </c>
      <c r="I69">
        <v>18</v>
      </c>
      <c r="K69" t="s">
        <v>77</v>
      </c>
    </row>
    <row r="70" spans="1:11" x14ac:dyDescent="0.25">
      <c r="A70" t="str">
        <f>_xlfn.CONCAT(VLOOKUP(B70,Indicateurs!$A:$B,2,0),"-",VLOOKUP(C70,Zones!$A:$B,2,0),"-",_xlfn.CONCAT(IF(K70&lt;&gt;"",VLOOKUP(K70,Desagregations!$A:$B,2,0),""),IF(L70&lt;&gt;"","_",""),IF(L70&lt;&gt;"",VLOOKUP(L70,Desagregations!$A:$B,2,0),""),IF(M70&lt;&gt;"","_",""),IF(M70&lt;&gt;"",VLOOKUP(M70,Desagregations!$A:$B,2,0),""),IF(N70&lt;&gt;"","_",""),IF(N70&lt;&gt;"",VLOOKUP(N70,Desagregations!$A:$B,2,0),""),IF(O70&lt;&gt;"","_",""),IF(O70&lt;&gt;"",VLOOKUP(O70,Desagregations!$A:$B,2,0),""),IF(P70&lt;&gt;"","_",""),IF(P70&lt;&gt;"",VLOOKUP(P70,Desagregations!$A:$B,2,0),"")),"-",VLOOKUP(D70,Unites!$A:$B,2,0),"-",VLOOKUP(E70,Sources!$A:$B,2,0),"-",VLOOKUP(F70,CommentaireValeurIndicateurs!$A:$B,2,0),"-",VLOOKUP(G70,NatureDonnees!$A:$B,2,0),"-",VLOOKUP(H70,Periodes!$A:$B,2,0))</f>
        <v>1314-1-6-4-48-3-1-26</v>
      </c>
      <c r="B70" s="2" t="s">
        <v>70</v>
      </c>
      <c r="C70" s="4" t="s">
        <v>136</v>
      </c>
      <c r="D70" t="s">
        <v>125</v>
      </c>
      <c r="E70" t="s">
        <v>122</v>
      </c>
      <c r="F70" s="4" t="s">
        <v>399</v>
      </c>
      <c r="G70" s="4" t="s">
        <v>400</v>
      </c>
      <c r="H70">
        <v>2025</v>
      </c>
      <c r="I70">
        <v>30</v>
      </c>
      <c r="K70" t="s">
        <v>77</v>
      </c>
    </row>
    <row r="71" spans="1:11" x14ac:dyDescent="0.25">
      <c r="A71" t="str">
        <f>_xlfn.CONCAT(VLOOKUP(B71,Indicateurs!$A:$B,2,0),"-",VLOOKUP(C71,Zones!$A:$B,2,0),"-",_xlfn.CONCAT(IF(K71&lt;&gt;"",VLOOKUP(K71,Desagregations!$A:$B,2,0),""),IF(L71&lt;&gt;"","_",""),IF(L71&lt;&gt;"",VLOOKUP(L71,Desagregations!$A:$B,2,0),""),IF(M71&lt;&gt;"","_",""),IF(M71&lt;&gt;"",VLOOKUP(M71,Desagregations!$A:$B,2,0),""),IF(N71&lt;&gt;"","_",""),IF(N71&lt;&gt;"",VLOOKUP(N71,Desagregations!$A:$B,2,0),""),IF(O71&lt;&gt;"","_",""),IF(O71&lt;&gt;"",VLOOKUP(O71,Desagregations!$A:$B,2,0),""),IF(P71&lt;&gt;"","_",""),IF(P71&lt;&gt;"",VLOOKUP(P71,Desagregations!$A:$B,2,0),"")),"-",VLOOKUP(D71,Unites!$A:$B,2,0),"-",VLOOKUP(E71,Sources!$A:$B,2,0),"-",VLOOKUP(F71,CommentaireValeurIndicateurs!$A:$B,2,0),"-",VLOOKUP(G71,NatureDonnees!$A:$B,2,0),"-",VLOOKUP(H71,Periodes!$A:$B,2,0))</f>
        <v>1315-1-6-4-49-3-1-26</v>
      </c>
      <c r="B71" s="2" t="s">
        <v>71</v>
      </c>
      <c r="C71" s="4" t="s">
        <v>136</v>
      </c>
      <c r="D71" t="s">
        <v>125</v>
      </c>
      <c r="E71" t="s">
        <v>123</v>
      </c>
      <c r="F71" s="4" t="s">
        <v>399</v>
      </c>
      <c r="G71" s="4" t="s">
        <v>400</v>
      </c>
      <c r="H71">
        <v>2025</v>
      </c>
      <c r="I71">
        <v>62.7</v>
      </c>
      <c r="K71" t="s">
        <v>77</v>
      </c>
    </row>
    <row r="72" spans="1:11" x14ac:dyDescent="0.25">
      <c r="A72" t="str">
        <f>_xlfn.CONCAT(VLOOKUP(B72,Indicateurs!$A:$B,2,0),"-",VLOOKUP(C72,Zones!$A:$B,2,0),"-",_xlfn.CONCAT(IF(K72&lt;&gt;"",VLOOKUP(K72,Desagregations!$A:$B,2,0),""),IF(L72&lt;&gt;"","_",""),IF(L72&lt;&gt;"",VLOOKUP(L72,Desagregations!$A:$B,2,0),""),IF(M72&lt;&gt;"","_",""),IF(M72&lt;&gt;"",VLOOKUP(M72,Desagregations!$A:$B,2,0),""),IF(N72&lt;&gt;"","_",""),IF(N72&lt;&gt;"",VLOOKUP(N72,Desagregations!$A:$B,2,0),""),IF(O72&lt;&gt;"","_",""),IF(O72&lt;&gt;"",VLOOKUP(O72,Desagregations!$A:$B,2,0),""),IF(P72&lt;&gt;"","_",""),IF(P72&lt;&gt;"",VLOOKUP(P72,Desagregations!$A:$B,2,0),"")),"-",VLOOKUP(D72,Unites!$A:$B,2,0),"-",VLOOKUP(E72,Sources!$A:$B,2,0),"-",VLOOKUP(F72,CommentaireValeurIndicateurs!$A:$B,2,0),"-",VLOOKUP(G72,NatureDonnees!$A:$B,2,0),"-",VLOOKUP(H72,Periodes!$A:$B,2,0))</f>
        <v>1316-1-6-4-50-3-1-26</v>
      </c>
      <c r="B72" s="2" t="s">
        <v>72</v>
      </c>
      <c r="C72" s="4" t="s">
        <v>136</v>
      </c>
      <c r="D72" t="s">
        <v>125</v>
      </c>
      <c r="E72" t="s">
        <v>124</v>
      </c>
      <c r="F72" s="4" t="s">
        <v>399</v>
      </c>
      <c r="G72" s="4" t="s">
        <v>400</v>
      </c>
      <c r="H72">
        <v>2025</v>
      </c>
      <c r="I72">
        <v>50</v>
      </c>
      <c r="K72" t="s">
        <v>77</v>
      </c>
    </row>
    <row r="73" spans="1:11" x14ac:dyDescent="0.25">
      <c r="A73" t="str">
        <f>_xlfn.CONCAT(VLOOKUP(B73,Indicateurs!$A:$B,2,0),"-",VLOOKUP(C73,Zones!$A:$B,2,0),"-",_xlfn.CONCAT(IF(K73&lt;&gt;"",VLOOKUP(K73,Desagregations!$A:$B,2,0),""),IF(L73&lt;&gt;"","_",""),IF(L73&lt;&gt;"",VLOOKUP(L73,Desagregations!$A:$B,2,0),""),IF(M73&lt;&gt;"","_",""),IF(M73&lt;&gt;"",VLOOKUP(M73,Desagregations!$A:$B,2,0),""),IF(N73&lt;&gt;"","_",""),IF(N73&lt;&gt;"",VLOOKUP(N73,Desagregations!$A:$B,2,0),""),IF(O73&lt;&gt;"","_",""),IF(O73&lt;&gt;"",VLOOKUP(O73,Desagregations!$A:$B,2,0),""),IF(P73&lt;&gt;"","_",""),IF(P73&lt;&gt;"",VLOOKUP(P73,Desagregations!$A:$B,2,0),"")),"-",VLOOKUP(D73,Unites!$A:$B,2,0),"-",VLOOKUP(E73,Sources!$A:$B,2,0),"-",VLOOKUP(F73,CommentaireValeurIndicateurs!$A:$B,2,0),"-",VLOOKUP(G73,NatureDonnees!$A:$B,2,0),"-",VLOOKUP(H73,Periodes!$A:$B,2,0))</f>
        <v>1246-1-6-4-4-3-1-27</v>
      </c>
      <c r="B73" s="2" t="s">
        <v>2</v>
      </c>
      <c r="C73" s="4" t="s">
        <v>136</v>
      </c>
      <c r="D73" t="s">
        <v>125</v>
      </c>
      <c r="E73" t="s">
        <v>78</v>
      </c>
      <c r="F73" s="4" t="s">
        <v>399</v>
      </c>
      <c r="G73" s="4" t="s">
        <v>400</v>
      </c>
      <c r="H73">
        <v>2026</v>
      </c>
      <c r="I73">
        <v>37.14</v>
      </c>
      <c r="K73" t="s">
        <v>77</v>
      </c>
    </row>
    <row r="74" spans="1:11" x14ac:dyDescent="0.25">
      <c r="A74" t="str">
        <f>_xlfn.CONCAT(VLOOKUP(B74,Indicateurs!$A:$B,2,0),"-",VLOOKUP(C74,Zones!$A:$B,2,0),"-",_xlfn.CONCAT(IF(K74&lt;&gt;"",VLOOKUP(K74,Desagregations!$A:$B,2,0),""),IF(L74&lt;&gt;"","_",""),IF(L74&lt;&gt;"",VLOOKUP(L74,Desagregations!$A:$B,2,0),""),IF(M74&lt;&gt;"","_",""),IF(M74&lt;&gt;"",VLOOKUP(M74,Desagregations!$A:$B,2,0),""),IF(N74&lt;&gt;"","_",""),IF(N74&lt;&gt;"",VLOOKUP(N74,Desagregations!$A:$B,2,0),""),IF(O74&lt;&gt;"","_",""),IF(O74&lt;&gt;"",VLOOKUP(O74,Desagregations!$A:$B,2,0),""),IF(P74&lt;&gt;"","_",""),IF(P74&lt;&gt;"",VLOOKUP(P74,Desagregations!$A:$B,2,0),"")),"-",VLOOKUP(D74,Unites!$A:$B,2,0),"-",VLOOKUP(E74,Sources!$A:$B,2,0),"-",VLOOKUP(F74,CommentaireValeurIndicateurs!$A:$B,2,0),"-",VLOOKUP(G74,NatureDonnees!$A:$B,2,0),"-",VLOOKUP(H74,Periodes!$A:$B,2,0))</f>
        <v>1247-1-6-4-4-3-1-27</v>
      </c>
      <c r="B74" s="2" t="s">
        <v>3</v>
      </c>
      <c r="C74" s="4" t="s">
        <v>136</v>
      </c>
      <c r="D74" t="s">
        <v>125</v>
      </c>
      <c r="E74" t="s">
        <v>78</v>
      </c>
      <c r="F74" s="4" t="s">
        <v>399</v>
      </c>
      <c r="G74" s="4" t="s">
        <v>400</v>
      </c>
      <c r="H74">
        <v>2026</v>
      </c>
      <c r="I74">
        <v>66.5</v>
      </c>
      <c r="K74" t="s">
        <v>77</v>
      </c>
    </row>
    <row r="75" spans="1:11" x14ac:dyDescent="0.25">
      <c r="A75" t="str">
        <f>_xlfn.CONCAT(VLOOKUP(B75,Indicateurs!$A:$B,2,0),"-",VLOOKUP(C75,Zones!$A:$B,2,0),"-",_xlfn.CONCAT(IF(K75&lt;&gt;"",VLOOKUP(K75,Desagregations!$A:$B,2,0),""),IF(L75&lt;&gt;"","_",""),IF(L75&lt;&gt;"",VLOOKUP(L75,Desagregations!$A:$B,2,0),""),IF(M75&lt;&gt;"","_",""),IF(M75&lt;&gt;"",VLOOKUP(M75,Desagregations!$A:$B,2,0),""),IF(N75&lt;&gt;"","_",""),IF(N75&lt;&gt;"",VLOOKUP(N75,Desagregations!$A:$B,2,0),""),IF(O75&lt;&gt;"","_",""),IF(O75&lt;&gt;"",VLOOKUP(O75,Desagregations!$A:$B,2,0),""),IF(P75&lt;&gt;"","_",""),IF(P75&lt;&gt;"",VLOOKUP(P75,Desagregations!$A:$B,2,0),"")),"-",VLOOKUP(D75,Unites!$A:$B,2,0),"-",VLOOKUP(E75,Sources!$A:$B,2,0),"-",VLOOKUP(F75,CommentaireValeurIndicateurs!$A:$B,2,0),"-",VLOOKUP(G75,NatureDonnees!$A:$B,2,0),"-",VLOOKUP(H75,Periodes!$A:$B,2,0))</f>
        <v>1248-1-6-5-5-3-1-27</v>
      </c>
      <c r="B75" s="2" t="s">
        <v>4</v>
      </c>
      <c r="C75" s="4" t="s">
        <v>136</v>
      </c>
      <c r="D75" t="s">
        <v>126</v>
      </c>
      <c r="E75" t="s">
        <v>79</v>
      </c>
      <c r="F75" s="4" t="s">
        <v>399</v>
      </c>
      <c r="G75" s="4" t="s">
        <v>400</v>
      </c>
      <c r="H75">
        <v>2026</v>
      </c>
      <c r="I75">
        <v>65.95</v>
      </c>
      <c r="K75" t="s">
        <v>77</v>
      </c>
    </row>
    <row r="76" spans="1:11" x14ac:dyDescent="0.25">
      <c r="A76" t="str">
        <f>_xlfn.CONCAT(VLOOKUP(B76,Indicateurs!$A:$B,2,0),"-",VLOOKUP(C76,Zones!$A:$B,2,0),"-",_xlfn.CONCAT(IF(K76&lt;&gt;"",VLOOKUP(K76,Desagregations!$A:$B,2,0),""),IF(L76&lt;&gt;"","_",""),IF(L76&lt;&gt;"",VLOOKUP(L76,Desagregations!$A:$B,2,0),""),IF(M76&lt;&gt;"","_",""),IF(M76&lt;&gt;"",VLOOKUP(M76,Desagregations!$A:$B,2,0),""),IF(N76&lt;&gt;"","_",""),IF(N76&lt;&gt;"",VLOOKUP(N76,Desagregations!$A:$B,2,0),""),IF(O76&lt;&gt;"","_",""),IF(O76&lt;&gt;"",VLOOKUP(O76,Desagregations!$A:$B,2,0),""),IF(P76&lt;&gt;"","_",""),IF(P76&lt;&gt;"",VLOOKUP(P76,Desagregations!$A:$B,2,0),"")),"-",VLOOKUP(D76,Unites!$A:$B,2,0),"-",VLOOKUP(E76,Sources!$A:$B,2,0),"-",VLOOKUP(F76,CommentaireValeurIndicateurs!$A:$B,2,0),"-",VLOOKUP(G76,NatureDonnees!$A:$B,2,0),"-",VLOOKUP(H76,Periodes!$A:$B,2,0))</f>
        <v>1249-1-6-4-4-3-1-27</v>
      </c>
      <c r="B76" s="2" t="s">
        <v>5</v>
      </c>
      <c r="C76" s="4" t="s">
        <v>136</v>
      </c>
      <c r="D76" t="s">
        <v>125</v>
      </c>
      <c r="E76" t="s">
        <v>78</v>
      </c>
      <c r="F76" s="4" t="s">
        <v>399</v>
      </c>
      <c r="G76" s="4" t="s">
        <v>400</v>
      </c>
      <c r="H76">
        <v>2026</v>
      </c>
      <c r="I76">
        <v>84.2</v>
      </c>
      <c r="K76" t="s">
        <v>77</v>
      </c>
    </row>
    <row r="77" spans="1:11" x14ac:dyDescent="0.25">
      <c r="A77" t="str">
        <f>_xlfn.CONCAT(VLOOKUP(B77,Indicateurs!$A:$B,2,0),"-",VLOOKUP(C77,Zones!$A:$B,2,0),"-",_xlfn.CONCAT(IF(K77&lt;&gt;"",VLOOKUP(K77,Desagregations!$A:$B,2,0),""),IF(L77&lt;&gt;"","_",""),IF(L77&lt;&gt;"",VLOOKUP(L77,Desagregations!$A:$B,2,0),""),IF(M77&lt;&gt;"","_",""),IF(M77&lt;&gt;"",VLOOKUP(M77,Desagregations!$A:$B,2,0),""),IF(N77&lt;&gt;"","_",""),IF(N77&lt;&gt;"",VLOOKUP(N77,Desagregations!$A:$B,2,0),""),IF(O77&lt;&gt;"","_",""),IF(O77&lt;&gt;"",VLOOKUP(O77,Desagregations!$A:$B,2,0),""),IF(P77&lt;&gt;"","_",""),IF(P77&lt;&gt;"",VLOOKUP(P77,Desagregations!$A:$B,2,0),"")),"-",VLOOKUP(D77,Unites!$A:$B,2,0),"-",VLOOKUP(E77,Sources!$A:$B,2,0),"-",VLOOKUP(F77,CommentaireValeurIndicateurs!$A:$B,2,0),"-",VLOOKUP(G77,NatureDonnees!$A:$B,2,0),"-",VLOOKUP(H77,Periodes!$A:$B,2,0))</f>
        <v>1250-1-6-4-6-3-1-27</v>
      </c>
      <c r="B77" s="2" t="s">
        <v>6</v>
      </c>
      <c r="C77" s="4" t="s">
        <v>136</v>
      </c>
      <c r="D77" t="s">
        <v>125</v>
      </c>
      <c r="E77" t="s">
        <v>80</v>
      </c>
      <c r="F77" s="4" t="s">
        <v>399</v>
      </c>
      <c r="G77" s="4" t="s">
        <v>400</v>
      </c>
      <c r="H77">
        <v>2026</v>
      </c>
      <c r="I77">
        <v>12.8</v>
      </c>
      <c r="K77" t="s">
        <v>77</v>
      </c>
    </row>
    <row r="78" spans="1:11" x14ac:dyDescent="0.25">
      <c r="A78" t="str">
        <f>_xlfn.CONCAT(VLOOKUP(B78,Indicateurs!$A:$B,2,0),"-",VLOOKUP(C78,Zones!$A:$B,2,0),"-",_xlfn.CONCAT(IF(K78&lt;&gt;"",VLOOKUP(K78,Desagregations!$A:$B,2,0),""),IF(L78&lt;&gt;"","_",""),IF(L78&lt;&gt;"",VLOOKUP(L78,Desagregations!$A:$B,2,0),""),IF(M78&lt;&gt;"","_",""),IF(M78&lt;&gt;"",VLOOKUP(M78,Desagregations!$A:$B,2,0),""),IF(N78&lt;&gt;"","_",""),IF(N78&lt;&gt;"",VLOOKUP(N78,Desagregations!$A:$B,2,0),""),IF(O78&lt;&gt;"","_",""),IF(O78&lt;&gt;"",VLOOKUP(O78,Desagregations!$A:$B,2,0),""),IF(P78&lt;&gt;"","_",""),IF(P78&lt;&gt;"",VLOOKUP(P78,Desagregations!$A:$B,2,0),"")),"-",VLOOKUP(D78,Unites!$A:$B,2,0),"-",VLOOKUP(E78,Sources!$A:$B,2,0),"-",VLOOKUP(F78,CommentaireValeurIndicateurs!$A:$B,2,0),"-",VLOOKUP(G78,NatureDonnees!$A:$B,2,0),"-",VLOOKUP(H78,Periodes!$A:$B,2,0))</f>
        <v>1251-1-6-4-7-3-1-27</v>
      </c>
      <c r="B78" s="2" t="s">
        <v>7</v>
      </c>
      <c r="C78" s="4" t="s">
        <v>136</v>
      </c>
      <c r="D78" t="s">
        <v>125</v>
      </c>
      <c r="E78" t="s">
        <v>81</v>
      </c>
      <c r="F78" s="4" t="s">
        <v>399</v>
      </c>
      <c r="G78" s="4" t="s">
        <v>400</v>
      </c>
      <c r="H78">
        <v>2026</v>
      </c>
      <c r="I78">
        <v>55.86</v>
      </c>
      <c r="K78" t="s">
        <v>77</v>
      </c>
    </row>
    <row r="79" spans="1:11" x14ac:dyDescent="0.25">
      <c r="A79" t="str">
        <f>_xlfn.CONCAT(VLOOKUP(B79,Indicateurs!$A:$B,2,0),"-",VLOOKUP(C79,Zones!$A:$B,2,0),"-",_xlfn.CONCAT(IF(K79&lt;&gt;"",VLOOKUP(K79,Desagregations!$A:$B,2,0),""),IF(L79&lt;&gt;"","_",""),IF(L79&lt;&gt;"",VLOOKUP(L79,Desagregations!$A:$B,2,0),""),IF(M79&lt;&gt;"","_",""),IF(M79&lt;&gt;"",VLOOKUP(M79,Desagregations!$A:$B,2,0),""),IF(N79&lt;&gt;"","_",""),IF(N79&lt;&gt;"",VLOOKUP(N79,Desagregations!$A:$B,2,0),""),IF(O79&lt;&gt;"","_",""),IF(O79&lt;&gt;"",VLOOKUP(O79,Desagregations!$A:$B,2,0),""),IF(P79&lt;&gt;"","_",""),IF(P79&lt;&gt;"",VLOOKUP(P79,Desagregations!$A:$B,2,0),"")),"-",VLOOKUP(D79,Unites!$A:$B,2,0),"-",VLOOKUP(E79,Sources!$A:$B,2,0),"-",VLOOKUP(F79,CommentaireValeurIndicateurs!$A:$B,2,0),"-",VLOOKUP(G79,NatureDonnees!$A:$B,2,0),"-",VLOOKUP(H79,Periodes!$A:$B,2,0))</f>
        <v>1252-1-6-4-8-3-1-27</v>
      </c>
      <c r="B79" s="2" t="s">
        <v>8</v>
      </c>
      <c r="C79" s="4" t="s">
        <v>136</v>
      </c>
      <c r="D79" t="s">
        <v>125</v>
      </c>
      <c r="E79" t="s">
        <v>82</v>
      </c>
      <c r="F79" s="4" t="s">
        <v>399</v>
      </c>
      <c r="G79" s="4" t="s">
        <v>400</v>
      </c>
      <c r="H79">
        <v>2026</v>
      </c>
      <c r="I79">
        <v>25.95</v>
      </c>
      <c r="K79" t="s">
        <v>77</v>
      </c>
    </row>
    <row r="80" spans="1:11" x14ac:dyDescent="0.25">
      <c r="A80" t="str">
        <f>_xlfn.CONCAT(VLOOKUP(B80,Indicateurs!$A:$B,2,0),"-",VLOOKUP(C80,Zones!$A:$B,2,0),"-",_xlfn.CONCAT(IF(K80&lt;&gt;"",VLOOKUP(K80,Desagregations!$A:$B,2,0),""),IF(L80&lt;&gt;"","_",""),IF(L80&lt;&gt;"",VLOOKUP(L80,Desagregations!$A:$B,2,0),""),IF(M80&lt;&gt;"","_",""),IF(M80&lt;&gt;"",VLOOKUP(M80,Desagregations!$A:$B,2,0),""),IF(N80&lt;&gt;"","_",""),IF(N80&lt;&gt;"",VLOOKUP(N80,Desagregations!$A:$B,2,0),""),IF(O80&lt;&gt;"","_",""),IF(O80&lt;&gt;"",VLOOKUP(O80,Desagregations!$A:$B,2,0),""),IF(P80&lt;&gt;"","_",""),IF(P80&lt;&gt;"",VLOOKUP(P80,Desagregations!$A:$B,2,0),"")),"-",VLOOKUP(D80,Unites!$A:$B,2,0),"-",VLOOKUP(E80,Sources!$A:$B,2,0),"-",VLOOKUP(F80,CommentaireValeurIndicateurs!$A:$B,2,0),"-",VLOOKUP(G80,NatureDonnees!$A:$B,2,0),"-",VLOOKUP(H80,Periodes!$A:$B,2,0))</f>
        <v>1253-1-6-4-8-3-1-27</v>
      </c>
      <c r="B80" s="2" t="s">
        <v>9</v>
      </c>
      <c r="C80" s="4" t="s">
        <v>136</v>
      </c>
      <c r="D80" t="s">
        <v>125</v>
      </c>
      <c r="E80" t="s">
        <v>82</v>
      </c>
      <c r="F80" s="4" t="s">
        <v>399</v>
      </c>
      <c r="G80" s="4" t="s">
        <v>400</v>
      </c>
      <c r="H80">
        <v>2026</v>
      </c>
      <c r="I80">
        <v>21.88</v>
      </c>
      <c r="K80" t="s">
        <v>77</v>
      </c>
    </row>
    <row r="81" spans="1:11" x14ac:dyDescent="0.25">
      <c r="A81" t="str">
        <f>_xlfn.CONCAT(VLOOKUP(B81,Indicateurs!$A:$B,2,0),"-",VLOOKUP(C81,Zones!$A:$B,2,0),"-",_xlfn.CONCAT(IF(K81&lt;&gt;"",VLOOKUP(K81,Desagregations!$A:$B,2,0),""),IF(L81&lt;&gt;"","_",""),IF(L81&lt;&gt;"",VLOOKUP(L81,Desagregations!$A:$B,2,0),""),IF(M81&lt;&gt;"","_",""),IF(M81&lt;&gt;"",VLOOKUP(M81,Desagregations!$A:$B,2,0),""),IF(N81&lt;&gt;"","_",""),IF(N81&lt;&gt;"",VLOOKUP(N81,Desagregations!$A:$B,2,0),""),IF(O81&lt;&gt;"","_",""),IF(O81&lt;&gt;"",VLOOKUP(O81,Desagregations!$A:$B,2,0),""),IF(P81&lt;&gt;"","_",""),IF(P81&lt;&gt;"",VLOOKUP(P81,Desagregations!$A:$B,2,0),"")),"-",VLOOKUP(D81,Unites!$A:$B,2,0),"-",VLOOKUP(E81,Sources!$A:$B,2,0),"-",VLOOKUP(F81,CommentaireValeurIndicateurs!$A:$B,2,0),"-",VLOOKUP(G81,NatureDonnees!$A:$B,2,0),"-",VLOOKUP(H81,Periodes!$A:$B,2,0))</f>
        <v>1254-1-6-4-4-3-1-27</v>
      </c>
      <c r="B81" s="2" t="s">
        <v>10</v>
      </c>
      <c r="C81" s="4" t="s">
        <v>136</v>
      </c>
      <c r="D81" t="s">
        <v>125</v>
      </c>
      <c r="E81" t="s">
        <v>78</v>
      </c>
      <c r="F81" s="4" t="s">
        <v>399</v>
      </c>
      <c r="G81" s="4" t="s">
        <v>400</v>
      </c>
      <c r="H81">
        <v>2026</v>
      </c>
      <c r="I81">
        <v>15.5</v>
      </c>
      <c r="K81" t="s">
        <v>77</v>
      </c>
    </row>
    <row r="82" spans="1:11" x14ac:dyDescent="0.25">
      <c r="A82" t="str">
        <f>_xlfn.CONCAT(VLOOKUP(B82,Indicateurs!$A:$B,2,0),"-",VLOOKUP(C82,Zones!$A:$B,2,0),"-",_xlfn.CONCAT(IF(K82&lt;&gt;"",VLOOKUP(K82,Desagregations!$A:$B,2,0),""),IF(L82&lt;&gt;"","_",""),IF(L82&lt;&gt;"",VLOOKUP(L82,Desagregations!$A:$B,2,0),""),IF(M82&lt;&gt;"","_",""),IF(M82&lt;&gt;"",VLOOKUP(M82,Desagregations!$A:$B,2,0),""),IF(N82&lt;&gt;"","_",""),IF(N82&lt;&gt;"",VLOOKUP(N82,Desagregations!$A:$B,2,0),""),IF(O82&lt;&gt;"","_",""),IF(O82&lt;&gt;"",VLOOKUP(O82,Desagregations!$A:$B,2,0),""),IF(P82&lt;&gt;"","_",""),IF(P82&lt;&gt;"",VLOOKUP(P82,Desagregations!$A:$B,2,0),"")),"-",VLOOKUP(D82,Unites!$A:$B,2,0),"-",VLOOKUP(E82,Sources!$A:$B,2,0),"-",VLOOKUP(F82,CommentaireValeurIndicateurs!$A:$B,2,0),"-",VLOOKUP(G82,NatureDonnees!$A:$B,2,0),"-",VLOOKUP(H82,Periodes!$A:$B,2,0))</f>
        <v>1255-1-6-4-4-3-1-27</v>
      </c>
      <c r="B82" s="2" t="s">
        <v>11</v>
      </c>
      <c r="C82" s="4" t="s">
        <v>136</v>
      </c>
      <c r="D82" t="s">
        <v>125</v>
      </c>
      <c r="E82" t="s">
        <v>78</v>
      </c>
      <c r="F82" s="4" t="s">
        <v>399</v>
      </c>
      <c r="G82" s="4" t="s">
        <v>400</v>
      </c>
      <c r="H82">
        <v>2026</v>
      </c>
      <c r="I82">
        <v>80</v>
      </c>
      <c r="K82" t="s">
        <v>77</v>
      </c>
    </row>
    <row r="83" spans="1:11" x14ac:dyDescent="0.25">
      <c r="A83" t="str">
        <f>_xlfn.CONCAT(VLOOKUP(B83,Indicateurs!$A:$B,2,0),"-",VLOOKUP(C83,Zones!$A:$B,2,0),"-",_xlfn.CONCAT(IF(K83&lt;&gt;"",VLOOKUP(K83,Desagregations!$A:$B,2,0),""),IF(L83&lt;&gt;"","_",""),IF(L83&lt;&gt;"",VLOOKUP(L83,Desagregations!$A:$B,2,0),""),IF(M83&lt;&gt;"","_",""),IF(M83&lt;&gt;"",VLOOKUP(M83,Desagregations!$A:$B,2,0),""),IF(N83&lt;&gt;"","_",""),IF(N83&lt;&gt;"",VLOOKUP(N83,Desagregations!$A:$B,2,0),""),IF(O83&lt;&gt;"","_",""),IF(O83&lt;&gt;"",VLOOKUP(O83,Desagregations!$A:$B,2,0),""),IF(P83&lt;&gt;"","_",""),IF(P83&lt;&gt;"",VLOOKUP(P83,Desagregations!$A:$B,2,0),"")),"-",VLOOKUP(D83,Unites!$A:$B,2,0),"-",VLOOKUP(E83,Sources!$A:$B,2,0),"-",VLOOKUP(F83,CommentaireValeurIndicateurs!$A:$B,2,0),"-",VLOOKUP(G83,NatureDonnees!$A:$B,2,0),"-",VLOOKUP(H83,Periodes!$A:$B,2,0))</f>
        <v>1256-1-6-4-9-3-1-27</v>
      </c>
      <c r="B83" s="2" t="s">
        <v>12</v>
      </c>
      <c r="C83" s="4" t="s">
        <v>136</v>
      </c>
      <c r="D83" s="4" t="s">
        <v>125</v>
      </c>
      <c r="E83" t="s">
        <v>83</v>
      </c>
      <c r="F83" s="4" t="s">
        <v>399</v>
      </c>
      <c r="G83" s="4" t="s">
        <v>400</v>
      </c>
      <c r="H83">
        <v>2026</v>
      </c>
      <c r="I83">
        <v>77</v>
      </c>
      <c r="K83" t="s">
        <v>77</v>
      </c>
    </row>
    <row r="84" spans="1:11" x14ac:dyDescent="0.25">
      <c r="A84" t="str">
        <f>_xlfn.CONCAT(VLOOKUP(B84,Indicateurs!$A:$B,2,0),"-",VLOOKUP(C84,Zones!$A:$B,2,0),"-",_xlfn.CONCAT(IF(K84&lt;&gt;"",VLOOKUP(K84,Desagregations!$A:$B,2,0),""),IF(L84&lt;&gt;"","_",""),IF(L84&lt;&gt;"",VLOOKUP(L84,Desagregations!$A:$B,2,0),""),IF(M84&lt;&gt;"","_",""),IF(M84&lt;&gt;"",VLOOKUP(M84,Desagregations!$A:$B,2,0),""),IF(N84&lt;&gt;"","_",""),IF(N84&lt;&gt;"",VLOOKUP(N84,Desagregations!$A:$B,2,0),""),IF(O84&lt;&gt;"","_",""),IF(O84&lt;&gt;"",VLOOKUP(O84,Desagregations!$A:$B,2,0),""),IF(P84&lt;&gt;"","_",""),IF(P84&lt;&gt;"",VLOOKUP(P84,Desagregations!$A:$B,2,0),"")),"-",VLOOKUP(D84,Unites!$A:$B,2,0),"-",VLOOKUP(E84,Sources!$A:$B,2,0),"-",VLOOKUP(F84,CommentaireValeurIndicateurs!$A:$B,2,0),"-",VLOOKUP(G84,NatureDonnees!$A:$B,2,0),"-",VLOOKUP(H84,Periodes!$A:$B,2,0))</f>
        <v>1257-1-6-6-10-3-1-27</v>
      </c>
      <c r="B84" s="2" t="s">
        <v>13</v>
      </c>
      <c r="C84" s="4" t="s">
        <v>136</v>
      </c>
      <c r="D84" t="s">
        <v>127</v>
      </c>
      <c r="E84" t="s">
        <v>84</v>
      </c>
      <c r="F84" s="4" t="s">
        <v>399</v>
      </c>
      <c r="G84" s="4" t="s">
        <v>400</v>
      </c>
      <c r="H84">
        <v>2026</v>
      </c>
      <c r="I84">
        <v>17</v>
      </c>
      <c r="K84" t="s">
        <v>77</v>
      </c>
    </row>
    <row r="85" spans="1:11" x14ac:dyDescent="0.25">
      <c r="A85" t="str">
        <f>_xlfn.CONCAT(VLOOKUP(B85,Indicateurs!$A:$B,2,0),"-",VLOOKUP(C85,Zones!$A:$B,2,0),"-",_xlfn.CONCAT(IF(K85&lt;&gt;"",VLOOKUP(K85,Desagregations!$A:$B,2,0),""),IF(L85&lt;&gt;"","_",""),IF(L85&lt;&gt;"",VLOOKUP(L85,Desagregations!$A:$B,2,0),""),IF(M85&lt;&gt;"","_",""),IF(M85&lt;&gt;"",VLOOKUP(M85,Desagregations!$A:$B,2,0),""),IF(N85&lt;&gt;"","_",""),IF(N85&lt;&gt;"",VLOOKUP(N85,Desagregations!$A:$B,2,0),""),IF(O85&lt;&gt;"","_",""),IF(O85&lt;&gt;"",VLOOKUP(O85,Desagregations!$A:$B,2,0),""),IF(P85&lt;&gt;"","_",""),IF(P85&lt;&gt;"",VLOOKUP(P85,Desagregations!$A:$B,2,0),"")),"-",VLOOKUP(D85,Unites!$A:$B,2,0),"-",VLOOKUP(E85,Sources!$A:$B,2,0),"-",VLOOKUP(F85,CommentaireValeurIndicateurs!$A:$B,2,0),"-",VLOOKUP(G85,NatureDonnees!$A:$B,2,0),"-",VLOOKUP(H85,Periodes!$A:$B,2,0))</f>
        <v>1258-1-6-4-10-3-1-27</v>
      </c>
      <c r="B85" s="2" t="s">
        <v>14</v>
      </c>
      <c r="C85" s="4" t="s">
        <v>136</v>
      </c>
      <c r="D85" t="s">
        <v>125</v>
      </c>
      <c r="E85" t="s">
        <v>84</v>
      </c>
      <c r="F85" s="4" t="s">
        <v>399</v>
      </c>
      <c r="G85" s="4" t="s">
        <v>400</v>
      </c>
      <c r="H85">
        <v>2026</v>
      </c>
      <c r="I85">
        <v>71.64</v>
      </c>
      <c r="K85" t="s">
        <v>77</v>
      </c>
    </row>
    <row r="86" spans="1:11" x14ac:dyDescent="0.25">
      <c r="A86" t="str">
        <f>_xlfn.CONCAT(VLOOKUP(B86,Indicateurs!$A:$B,2,0),"-",VLOOKUP(C86,Zones!$A:$B,2,0),"-",_xlfn.CONCAT(IF(K86&lt;&gt;"",VLOOKUP(K86,Desagregations!$A:$B,2,0),""),IF(L86&lt;&gt;"","_",""),IF(L86&lt;&gt;"",VLOOKUP(L86,Desagregations!$A:$B,2,0),""),IF(M86&lt;&gt;"","_",""),IF(M86&lt;&gt;"",VLOOKUP(M86,Desagregations!$A:$B,2,0),""),IF(N86&lt;&gt;"","_",""),IF(N86&lt;&gt;"",VLOOKUP(N86,Desagregations!$A:$B,2,0),""),IF(O86&lt;&gt;"","_",""),IF(O86&lt;&gt;"",VLOOKUP(O86,Desagregations!$A:$B,2,0),""),IF(P86&lt;&gt;"","_",""),IF(P86&lt;&gt;"",VLOOKUP(P86,Desagregations!$A:$B,2,0),"")),"-",VLOOKUP(D86,Unites!$A:$B,2,0),"-",VLOOKUP(E86,Sources!$A:$B,2,0),"-",VLOOKUP(F86,CommentaireValeurIndicateurs!$A:$B,2,0),"-",VLOOKUP(G86,NatureDonnees!$A:$B,2,0),"-",VLOOKUP(H86,Periodes!$A:$B,2,0))</f>
        <v>1259-1-6-4-4-3-1-27</v>
      </c>
      <c r="B86" s="2" t="s">
        <v>15</v>
      </c>
      <c r="C86" s="4" t="s">
        <v>136</v>
      </c>
      <c r="D86" t="s">
        <v>125</v>
      </c>
      <c r="E86" t="s">
        <v>78</v>
      </c>
      <c r="F86" s="4" t="s">
        <v>399</v>
      </c>
      <c r="G86" s="4" t="s">
        <v>400</v>
      </c>
      <c r="H86">
        <v>2026</v>
      </c>
      <c r="I86">
        <v>45.1</v>
      </c>
      <c r="K86" t="s">
        <v>77</v>
      </c>
    </row>
    <row r="87" spans="1:11" x14ac:dyDescent="0.25">
      <c r="A87" t="str">
        <f>_xlfn.CONCAT(VLOOKUP(B87,Indicateurs!$A:$B,2,0),"-",VLOOKUP(C87,Zones!$A:$B,2,0),"-",_xlfn.CONCAT(IF(K87&lt;&gt;"",VLOOKUP(K87,Desagregations!$A:$B,2,0),""),IF(L87&lt;&gt;"","_",""),IF(L87&lt;&gt;"",VLOOKUP(L87,Desagregations!$A:$B,2,0),""),IF(M87&lt;&gt;"","_",""),IF(M87&lt;&gt;"",VLOOKUP(M87,Desagregations!$A:$B,2,0),""),IF(N87&lt;&gt;"","_",""),IF(N87&lt;&gt;"",VLOOKUP(N87,Desagregations!$A:$B,2,0),""),IF(O87&lt;&gt;"","_",""),IF(O87&lt;&gt;"",VLOOKUP(O87,Desagregations!$A:$B,2,0),""),IF(P87&lt;&gt;"","_",""),IF(P87&lt;&gt;"",VLOOKUP(P87,Desagregations!$A:$B,2,0),"")),"-",VLOOKUP(D87,Unites!$A:$B,2,0),"-",VLOOKUP(E87,Sources!$A:$B,2,0),"-",VLOOKUP(F87,CommentaireValeurIndicateurs!$A:$B,2,0),"-",VLOOKUP(G87,NatureDonnees!$A:$B,2,0),"-",VLOOKUP(H87,Periodes!$A:$B,2,0))</f>
        <v>1260-1-6-7-11-3-1-27</v>
      </c>
      <c r="B87" s="2" t="s">
        <v>16</v>
      </c>
      <c r="C87" s="4" t="s">
        <v>136</v>
      </c>
      <c r="D87" t="s">
        <v>128</v>
      </c>
      <c r="E87" t="s">
        <v>85</v>
      </c>
      <c r="F87" s="4" t="s">
        <v>399</v>
      </c>
      <c r="G87" s="4" t="s">
        <v>400</v>
      </c>
      <c r="H87">
        <v>2026</v>
      </c>
      <c r="I87">
        <v>4</v>
      </c>
      <c r="K87" t="s">
        <v>77</v>
      </c>
    </row>
    <row r="88" spans="1:11" x14ac:dyDescent="0.25">
      <c r="A88" t="str">
        <f>_xlfn.CONCAT(VLOOKUP(B88,Indicateurs!$A:$B,2,0),"-",VLOOKUP(C88,Zones!$A:$B,2,0),"-",_xlfn.CONCAT(IF(K88&lt;&gt;"",VLOOKUP(K88,Desagregations!$A:$B,2,0),""),IF(L88&lt;&gt;"","_",""),IF(L88&lt;&gt;"",VLOOKUP(L88,Desagregations!$A:$B,2,0),""),IF(M88&lt;&gt;"","_",""),IF(M88&lt;&gt;"",VLOOKUP(M88,Desagregations!$A:$B,2,0),""),IF(N88&lt;&gt;"","_",""),IF(N88&lt;&gt;"",VLOOKUP(N88,Desagregations!$A:$B,2,0),""),IF(O88&lt;&gt;"","_",""),IF(O88&lt;&gt;"",VLOOKUP(O88,Desagregations!$A:$B,2,0),""),IF(P88&lt;&gt;"","_",""),IF(P88&lt;&gt;"",VLOOKUP(P88,Desagregations!$A:$B,2,0),"")),"-",VLOOKUP(D88,Unites!$A:$B,2,0),"-",VLOOKUP(E88,Sources!$A:$B,2,0),"-",VLOOKUP(F88,CommentaireValeurIndicateurs!$A:$B,2,0),"-",VLOOKUP(G88,NatureDonnees!$A:$B,2,0),"-",VLOOKUP(H88,Periodes!$A:$B,2,0))</f>
        <v>1261-1-6-4-12-3-1-27</v>
      </c>
      <c r="B88" s="2" t="s">
        <v>17</v>
      </c>
      <c r="C88" s="4" t="s">
        <v>136</v>
      </c>
      <c r="D88" t="s">
        <v>125</v>
      </c>
      <c r="E88" t="s">
        <v>86</v>
      </c>
      <c r="F88" s="4" t="s">
        <v>399</v>
      </c>
      <c r="G88" s="4" t="s">
        <v>400</v>
      </c>
      <c r="H88">
        <v>2026</v>
      </c>
      <c r="I88">
        <v>70</v>
      </c>
      <c r="K88" t="s">
        <v>77</v>
      </c>
    </row>
    <row r="89" spans="1:11" x14ac:dyDescent="0.25">
      <c r="A89" t="str">
        <f>_xlfn.CONCAT(VLOOKUP(B89,Indicateurs!$A:$B,2,0),"-",VLOOKUP(C89,Zones!$A:$B,2,0),"-",_xlfn.CONCAT(IF(K89&lt;&gt;"",VLOOKUP(K89,Desagregations!$A:$B,2,0),""),IF(L89&lt;&gt;"","_",""),IF(L89&lt;&gt;"",VLOOKUP(L89,Desagregations!$A:$B,2,0),""),IF(M89&lt;&gt;"","_",""),IF(M89&lt;&gt;"",VLOOKUP(M89,Desagregations!$A:$B,2,0),""),IF(N89&lt;&gt;"","_",""),IF(N89&lt;&gt;"",VLOOKUP(N89,Desagregations!$A:$B,2,0),""),IF(O89&lt;&gt;"","_",""),IF(O89&lt;&gt;"",VLOOKUP(O89,Desagregations!$A:$B,2,0),""),IF(P89&lt;&gt;"","_",""),IF(P89&lt;&gt;"",VLOOKUP(P89,Desagregations!$A:$B,2,0),"")),"-",VLOOKUP(D89,Unites!$A:$B,2,0),"-",VLOOKUP(E89,Sources!$A:$B,2,0),"-",VLOOKUP(F89,CommentaireValeurIndicateurs!$A:$B,2,0),"-",VLOOKUP(G89,NatureDonnees!$A:$B,2,0),"-",VLOOKUP(H89,Periodes!$A:$B,2,0))</f>
        <v>1262-1-6-4-13-3-1-27</v>
      </c>
      <c r="B89" s="3" t="s">
        <v>18</v>
      </c>
      <c r="C89" s="4" t="s">
        <v>136</v>
      </c>
      <c r="D89" t="s">
        <v>125</v>
      </c>
      <c r="E89" t="s">
        <v>87</v>
      </c>
      <c r="F89" s="4" t="s">
        <v>399</v>
      </c>
      <c r="G89" s="4" t="s">
        <v>400</v>
      </c>
      <c r="H89">
        <v>2026</v>
      </c>
      <c r="I89">
        <v>78</v>
      </c>
      <c r="K89" t="s">
        <v>77</v>
      </c>
    </row>
    <row r="90" spans="1:11" x14ac:dyDescent="0.25">
      <c r="A90" t="str">
        <f>_xlfn.CONCAT(VLOOKUP(B90,Indicateurs!$A:$B,2,0),"-",VLOOKUP(C90,Zones!$A:$B,2,0),"-",_xlfn.CONCAT(IF(K90&lt;&gt;"",VLOOKUP(K90,Desagregations!$A:$B,2,0),""),IF(L90&lt;&gt;"","_",""),IF(L90&lt;&gt;"",VLOOKUP(L90,Desagregations!$A:$B,2,0),""),IF(M90&lt;&gt;"","_",""),IF(M90&lt;&gt;"",VLOOKUP(M90,Desagregations!$A:$B,2,0),""),IF(N90&lt;&gt;"","_",""),IF(N90&lt;&gt;"",VLOOKUP(N90,Desagregations!$A:$B,2,0),""),IF(O90&lt;&gt;"","_",""),IF(O90&lt;&gt;"",VLOOKUP(O90,Desagregations!$A:$B,2,0),""),IF(P90&lt;&gt;"","_",""),IF(P90&lt;&gt;"",VLOOKUP(P90,Desagregations!$A:$B,2,0),"")),"-",VLOOKUP(D90,Unites!$A:$B,2,0),"-",VLOOKUP(E90,Sources!$A:$B,2,0),"-",VLOOKUP(F90,CommentaireValeurIndicateurs!$A:$B,2,0),"-",VLOOKUP(G90,NatureDonnees!$A:$B,2,0),"-",VLOOKUP(H90,Periodes!$A:$B,2,0))</f>
        <v>1263-1-6-4-10-3-1-27</v>
      </c>
      <c r="B90" s="2" t="s">
        <v>19</v>
      </c>
      <c r="C90" s="4" t="s">
        <v>136</v>
      </c>
      <c r="D90" t="s">
        <v>125</v>
      </c>
      <c r="E90" t="s">
        <v>84</v>
      </c>
      <c r="F90" s="4" t="s">
        <v>399</v>
      </c>
      <c r="G90" s="4" t="s">
        <v>400</v>
      </c>
      <c r="H90">
        <v>2026</v>
      </c>
      <c r="I90">
        <v>87.5</v>
      </c>
      <c r="K90" t="s">
        <v>77</v>
      </c>
    </row>
    <row r="91" spans="1:11" x14ac:dyDescent="0.25">
      <c r="A91" t="str">
        <f>_xlfn.CONCAT(VLOOKUP(B91,Indicateurs!$A:$B,2,0),"-",VLOOKUP(C91,Zones!$A:$B,2,0),"-",_xlfn.CONCAT(IF(K91&lt;&gt;"",VLOOKUP(K91,Desagregations!$A:$B,2,0),""),IF(L91&lt;&gt;"","_",""),IF(L91&lt;&gt;"",VLOOKUP(L91,Desagregations!$A:$B,2,0),""),IF(M91&lt;&gt;"","_",""),IF(M91&lt;&gt;"",VLOOKUP(M91,Desagregations!$A:$B,2,0),""),IF(N91&lt;&gt;"","_",""),IF(N91&lt;&gt;"",VLOOKUP(N91,Desagregations!$A:$B,2,0),""),IF(O91&lt;&gt;"","_",""),IF(O91&lt;&gt;"",VLOOKUP(O91,Desagregations!$A:$B,2,0),""),IF(P91&lt;&gt;"","_",""),IF(P91&lt;&gt;"",VLOOKUP(P91,Desagregations!$A:$B,2,0),"")),"-",VLOOKUP(D91,Unites!$A:$B,2,0),"-",VLOOKUP(E91,Sources!$A:$B,2,0),"-",VLOOKUP(F91,CommentaireValeurIndicateurs!$A:$B,2,0),"-",VLOOKUP(G91,NatureDonnees!$A:$B,2,0),"-",VLOOKUP(H91,Periodes!$A:$B,2,0))</f>
        <v>1264-1-6-4-10-3-1-27</v>
      </c>
      <c r="B91" s="2" t="s">
        <v>20</v>
      </c>
      <c r="C91" s="4" t="s">
        <v>136</v>
      </c>
      <c r="D91" t="s">
        <v>125</v>
      </c>
      <c r="E91" t="s">
        <v>84</v>
      </c>
      <c r="F91" s="4" t="s">
        <v>399</v>
      </c>
      <c r="G91" s="4" t="s">
        <v>400</v>
      </c>
      <c r="H91">
        <v>2026</v>
      </c>
      <c r="I91">
        <v>40</v>
      </c>
      <c r="K91" t="s">
        <v>77</v>
      </c>
    </row>
    <row r="92" spans="1:11" x14ac:dyDescent="0.25">
      <c r="A92" t="str">
        <f>_xlfn.CONCAT(VLOOKUP(B92,Indicateurs!$A:$B,2,0),"-",VLOOKUP(C92,Zones!$A:$B,2,0),"-",_xlfn.CONCAT(IF(K92&lt;&gt;"",VLOOKUP(K92,Desagregations!$A:$B,2,0),""),IF(L92&lt;&gt;"","_",""),IF(L92&lt;&gt;"",VLOOKUP(L92,Desagregations!$A:$B,2,0),""),IF(M92&lt;&gt;"","_",""),IF(M92&lt;&gt;"",VLOOKUP(M92,Desagregations!$A:$B,2,0),""),IF(N92&lt;&gt;"","_",""),IF(N92&lt;&gt;"",VLOOKUP(N92,Desagregations!$A:$B,2,0),""),IF(O92&lt;&gt;"","_",""),IF(O92&lt;&gt;"",VLOOKUP(O92,Desagregations!$A:$B,2,0),""),IF(P92&lt;&gt;"","_",""),IF(P92&lt;&gt;"",VLOOKUP(P92,Desagregations!$A:$B,2,0),"")),"-",VLOOKUP(D92,Unites!$A:$B,2,0),"-",VLOOKUP(E92,Sources!$A:$B,2,0),"-",VLOOKUP(F92,CommentaireValeurIndicateurs!$A:$B,2,0),"-",VLOOKUP(G92,NatureDonnees!$A:$B,2,0),"-",VLOOKUP(H92,Periodes!$A:$B,2,0))</f>
        <v>1265-1-6-4-14-3-1-27</v>
      </c>
      <c r="B92" s="2" t="s">
        <v>21</v>
      </c>
      <c r="C92" s="4" t="s">
        <v>136</v>
      </c>
      <c r="D92" t="s">
        <v>125</v>
      </c>
      <c r="E92" t="s">
        <v>88</v>
      </c>
      <c r="F92" s="4" t="s">
        <v>399</v>
      </c>
      <c r="G92" s="4" t="s">
        <v>400</v>
      </c>
      <c r="H92">
        <v>2026</v>
      </c>
      <c r="I92">
        <v>85</v>
      </c>
      <c r="K92" t="s">
        <v>77</v>
      </c>
    </row>
    <row r="93" spans="1:11" x14ac:dyDescent="0.25">
      <c r="A93" t="str">
        <f>_xlfn.CONCAT(VLOOKUP(B93,Indicateurs!$A:$B,2,0),"-",VLOOKUP(C93,Zones!$A:$B,2,0),"-",_xlfn.CONCAT(IF(K93&lt;&gt;"",VLOOKUP(K93,Desagregations!$A:$B,2,0),""),IF(L93&lt;&gt;"","_",""),IF(L93&lt;&gt;"",VLOOKUP(L93,Desagregations!$A:$B,2,0),""),IF(M93&lt;&gt;"","_",""),IF(M93&lt;&gt;"",VLOOKUP(M93,Desagregations!$A:$B,2,0),""),IF(N93&lt;&gt;"","_",""),IF(N93&lt;&gt;"",VLOOKUP(N93,Desagregations!$A:$B,2,0),""),IF(O93&lt;&gt;"","_",""),IF(O93&lt;&gt;"",VLOOKUP(O93,Desagregations!$A:$B,2,0),""),IF(P93&lt;&gt;"","_",""),IF(P93&lt;&gt;"",VLOOKUP(P93,Desagregations!$A:$B,2,0),"")),"-",VLOOKUP(D93,Unites!$A:$B,2,0),"-",VLOOKUP(E93,Sources!$A:$B,2,0),"-",VLOOKUP(F93,CommentaireValeurIndicateurs!$A:$B,2,0),"-",VLOOKUP(G93,NatureDonnees!$A:$B,2,0),"-",VLOOKUP(H93,Periodes!$A:$B,2,0))</f>
        <v>1266-1-6-8-15-3-1-27</v>
      </c>
      <c r="B93" s="3" t="s">
        <v>22</v>
      </c>
      <c r="C93" s="4" t="s">
        <v>136</v>
      </c>
      <c r="D93" t="s">
        <v>129</v>
      </c>
      <c r="E93" t="s">
        <v>89</v>
      </c>
      <c r="F93" s="4" t="s">
        <v>399</v>
      </c>
      <c r="G93" s="4" t="s">
        <v>400</v>
      </c>
      <c r="H93">
        <v>2026</v>
      </c>
      <c r="I93">
        <v>95</v>
      </c>
      <c r="K93" t="s">
        <v>77</v>
      </c>
    </row>
    <row r="94" spans="1:11" x14ac:dyDescent="0.25">
      <c r="A94" t="str">
        <f>_xlfn.CONCAT(VLOOKUP(B94,Indicateurs!$A:$B,2,0),"-",VLOOKUP(C94,Zones!$A:$B,2,0),"-",_xlfn.CONCAT(IF(K94&lt;&gt;"",VLOOKUP(K94,Desagregations!$A:$B,2,0),""),IF(L94&lt;&gt;"","_",""),IF(L94&lt;&gt;"",VLOOKUP(L94,Desagregations!$A:$B,2,0),""),IF(M94&lt;&gt;"","_",""),IF(M94&lt;&gt;"",VLOOKUP(M94,Desagregations!$A:$B,2,0),""),IF(N94&lt;&gt;"","_",""),IF(N94&lt;&gt;"",VLOOKUP(N94,Desagregations!$A:$B,2,0),""),IF(O94&lt;&gt;"","_",""),IF(O94&lt;&gt;"",VLOOKUP(O94,Desagregations!$A:$B,2,0),""),IF(P94&lt;&gt;"","_",""),IF(P94&lt;&gt;"",VLOOKUP(P94,Desagregations!$A:$B,2,0),"")),"-",VLOOKUP(D94,Unites!$A:$B,2,0),"-",VLOOKUP(E94,Sources!$A:$B,2,0),"-",VLOOKUP(F94,CommentaireValeurIndicateurs!$A:$B,2,0),"-",VLOOKUP(G94,NatureDonnees!$A:$B,2,0),"-",VLOOKUP(H94,Periodes!$A:$B,2,0))</f>
        <v>1267-1-6-4-16-3-1-27</v>
      </c>
      <c r="B94" s="2" t="s">
        <v>23</v>
      </c>
      <c r="C94" s="4" t="s">
        <v>136</v>
      </c>
      <c r="D94" t="s">
        <v>125</v>
      </c>
      <c r="E94" t="s">
        <v>90</v>
      </c>
      <c r="F94" s="4" t="s">
        <v>399</v>
      </c>
      <c r="G94" s="4" t="s">
        <v>400</v>
      </c>
      <c r="H94">
        <v>2026</v>
      </c>
      <c r="I94">
        <v>6.7</v>
      </c>
      <c r="K94" t="s">
        <v>77</v>
      </c>
    </row>
    <row r="95" spans="1:11" x14ac:dyDescent="0.25">
      <c r="A95" t="str">
        <f>_xlfn.CONCAT(VLOOKUP(B95,Indicateurs!$A:$B,2,0),"-",VLOOKUP(C95,Zones!$A:$B,2,0),"-",_xlfn.CONCAT(IF(K95&lt;&gt;"",VLOOKUP(K95,Desagregations!$A:$B,2,0),""),IF(L95&lt;&gt;"","_",""),IF(L95&lt;&gt;"",VLOOKUP(L95,Desagregations!$A:$B,2,0),""),IF(M95&lt;&gt;"","_",""),IF(M95&lt;&gt;"",VLOOKUP(M95,Desagregations!$A:$B,2,0),""),IF(N95&lt;&gt;"","_",""),IF(N95&lt;&gt;"",VLOOKUP(N95,Desagregations!$A:$B,2,0),""),IF(O95&lt;&gt;"","_",""),IF(O95&lt;&gt;"",VLOOKUP(O95,Desagregations!$A:$B,2,0),""),IF(P95&lt;&gt;"","_",""),IF(P95&lt;&gt;"",VLOOKUP(P95,Desagregations!$A:$B,2,0),"")),"-",VLOOKUP(D95,Unites!$A:$B,2,0),"-",VLOOKUP(E95,Sources!$A:$B,2,0),"-",VLOOKUP(F95,CommentaireValeurIndicateurs!$A:$B,2,0),"-",VLOOKUP(G95,NatureDonnees!$A:$B,2,0),"-",VLOOKUP(H95,Periodes!$A:$B,2,0))</f>
        <v>1268-1-6-9-4-3-1-27</v>
      </c>
      <c r="B95" s="2" t="s">
        <v>24</v>
      </c>
      <c r="C95" s="4" t="s">
        <v>136</v>
      </c>
      <c r="D95" t="s">
        <v>130</v>
      </c>
      <c r="E95" t="s">
        <v>78</v>
      </c>
      <c r="F95" s="4" t="s">
        <v>399</v>
      </c>
      <c r="G95" s="4" t="s">
        <v>400</v>
      </c>
      <c r="H95">
        <v>2026</v>
      </c>
      <c r="I95">
        <v>0.3</v>
      </c>
      <c r="K95" t="s">
        <v>77</v>
      </c>
    </row>
    <row r="96" spans="1:11" x14ac:dyDescent="0.25">
      <c r="A96" t="str">
        <f>_xlfn.CONCAT(VLOOKUP(B96,Indicateurs!$A:$B,2,0),"-",VLOOKUP(C96,Zones!$A:$B,2,0),"-",_xlfn.CONCAT(IF(K96&lt;&gt;"",VLOOKUP(K96,Desagregations!$A:$B,2,0),""),IF(L96&lt;&gt;"","_",""),IF(L96&lt;&gt;"",VLOOKUP(L96,Desagregations!$A:$B,2,0),""),IF(M96&lt;&gt;"","_",""),IF(M96&lt;&gt;"",VLOOKUP(M96,Desagregations!$A:$B,2,0),""),IF(N96&lt;&gt;"","_",""),IF(N96&lt;&gt;"",VLOOKUP(N96,Desagregations!$A:$B,2,0),""),IF(O96&lt;&gt;"","_",""),IF(O96&lt;&gt;"",VLOOKUP(O96,Desagregations!$A:$B,2,0),""),IF(P96&lt;&gt;"","_",""),IF(P96&lt;&gt;"",VLOOKUP(P96,Desagregations!$A:$B,2,0),"")),"-",VLOOKUP(D96,Unites!$A:$B,2,0),"-",VLOOKUP(E96,Sources!$A:$B,2,0),"-",VLOOKUP(F96,CommentaireValeurIndicateurs!$A:$B,2,0),"-",VLOOKUP(G96,NatureDonnees!$A:$B,2,0),"-",VLOOKUP(H96,Periodes!$A:$B,2,0))</f>
        <v>1269-1-6-4-17-3-1-27</v>
      </c>
      <c r="B96" s="2" t="s">
        <v>25</v>
      </c>
      <c r="C96" s="4" t="s">
        <v>136</v>
      </c>
      <c r="D96" t="s">
        <v>125</v>
      </c>
      <c r="E96" t="s">
        <v>91</v>
      </c>
      <c r="F96" s="4" t="s">
        <v>399</v>
      </c>
      <c r="G96" s="4" t="s">
        <v>400</v>
      </c>
      <c r="H96">
        <v>2026</v>
      </c>
      <c r="I96">
        <v>93</v>
      </c>
      <c r="K96" t="s">
        <v>77</v>
      </c>
    </row>
    <row r="97" spans="1:11" x14ac:dyDescent="0.25">
      <c r="A97" t="str">
        <f>_xlfn.CONCAT(VLOOKUP(B97,Indicateurs!$A:$B,2,0),"-",VLOOKUP(C97,Zones!$A:$B,2,0),"-",_xlfn.CONCAT(IF(K97&lt;&gt;"",VLOOKUP(K97,Desagregations!$A:$B,2,0),""),IF(L97&lt;&gt;"","_",""),IF(L97&lt;&gt;"",VLOOKUP(L97,Desagregations!$A:$B,2,0),""),IF(M97&lt;&gt;"","_",""),IF(M97&lt;&gt;"",VLOOKUP(M97,Desagregations!$A:$B,2,0),""),IF(N97&lt;&gt;"","_",""),IF(N97&lt;&gt;"",VLOOKUP(N97,Desagregations!$A:$B,2,0),""),IF(O97&lt;&gt;"","_",""),IF(O97&lt;&gt;"",VLOOKUP(O97,Desagregations!$A:$B,2,0),""),IF(P97&lt;&gt;"","_",""),IF(P97&lt;&gt;"",VLOOKUP(P97,Desagregations!$A:$B,2,0),"")),"-",VLOOKUP(D97,Unites!$A:$B,2,0),"-",VLOOKUP(E97,Sources!$A:$B,2,0),"-",VLOOKUP(F97,CommentaireValeurIndicateurs!$A:$B,2,0),"-",VLOOKUP(G97,NatureDonnees!$A:$B,2,0),"-",VLOOKUP(H97,Periodes!$A:$B,2,0))</f>
        <v>1270-1-6-4-18-3-1-27</v>
      </c>
      <c r="B97" s="2" t="s">
        <v>26</v>
      </c>
      <c r="C97" s="4" t="s">
        <v>136</v>
      </c>
      <c r="D97" t="s">
        <v>125</v>
      </c>
      <c r="E97" t="s">
        <v>92</v>
      </c>
      <c r="F97" s="4" t="s">
        <v>399</v>
      </c>
      <c r="G97" s="4" t="s">
        <v>400</v>
      </c>
      <c r="H97">
        <v>2026</v>
      </c>
      <c r="I97">
        <v>75</v>
      </c>
      <c r="K97" t="s">
        <v>77</v>
      </c>
    </row>
    <row r="98" spans="1:11" x14ac:dyDescent="0.25">
      <c r="A98" t="str">
        <f>_xlfn.CONCAT(VLOOKUP(B98,Indicateurs!$A:$B,2,0),"-",VLOOKUP(C98,Zones!$A:$B,2,0),"-",_xlfn.CONCAT(IF(K98&lt;&gt;"",VLOOKUP(K98,Desagregations!$A:$B,2,0),""),IF(L98&lt;&gt;"","_",""),IF(L98&lt;&gt;"",VLOOKUP(L98,Desagregations!$A:$B,2,0),""),IF(M98&lt;&gt;"","_",""),IF(M98&lt;&gt;"",VLOOKUP(M98,Desagregations!$A:$B,2,0),""),IF(N98&lt;&gt;"","_",""),IF(N98&lt;&gt;"",VLOOKUP(N98,Desagregations!$A:$B,2,0),""),IF(O98&lt;&gt;"","_",""),IF(O98&lt;&gt;"",VLOOKUP(O98,Desagregations!$A:$B,2,0),""),IF(P98&lt;&gt;"","_",""),IF(P98&lt;&gt;"",VLOOKUP(P98,Desagregations!$A:$B,2,0),"")),"-",VLOOKUP(D98,Unites!$A:$B,2,0),"-",VLOOKUP(E98,Sources!$A:$B,2,0),"-",VLOOKUP(F98,CommentaireValeurIndicateurs!$A:$B,2,0),"-",VLOOKUP(G98,NatureDonnees!$A:$B,2,0),"-",VLOOKUP(H98,Periodes!$A:$B,2,0))</f>
        <v>1271-1-6-4-19-3-1-27</v>
      </c>
      <c r="B98" s="3" t="s">
        <v>27</v>
      </c>
      <c r="C98" s="4" t="s">
        <v>136</v>
      </c>
      <c r="D98" t="s">
        <v>125</v>
      </c>
      <c r="E98" t="s">
        <v>93</v>
      </c>
      <c r="F98" s="4" t="s">
        <v>399</v>
      </c>
      <c r="G98" s="4" t="s">
        <v>400</v>
      </c>
      <c r="H98">
        <v>2026</v>
      </c>
      <c r="I98">
        <v>8.9</v>
      </c>
      <c r="K98" t="s">
        <v>77</v>
      </c>
    </row>
    <row r="99" spans="1:11" x14ac:dyDescent="0.25">
      <c r="A99" t="e">
        <f>_xlfn.CONCAT(VLOOKUP(B99,Indicateurs!$A:$B,2,0),"-",VLOOKUP(C99,Zones!$A:$B,2,0),"-",_xlfn.CONCAT(IF(K99&lt;&gt;"",VLOOKUP(K99,Desagregations!$A:$B,2,0),""),IF(L99&lt;&gt;"","_",""),IF(L99&lt;&gt;"",VLOOKUP(L99,Desagregations!$A:$B,2,0),""),IF(M99&lt;&gt;"","_",""),IF(M99&lt;&gt;"",VLOOKUP(M99,Desagregations!$A:$B,2,0),""),IF(N99&lt;&gt;"","_",""),IF(N99&lt;&gt;"",VLOOKUP(N99,Desagregations!$A:$B,2,0),""),IF(O99&lt;&gt;"","_",""),IF(O99&lt;&gt;"",VLOOKUP(O99,Desagregations!$A:$B,2,0),""),IF(P99&lt;&gt;"","_",""),IF(P99&lt;&gt;"",VLOOKUP(P99,Desagregations!$A:$B,2,0),"")),"-",VLOOKUP(D99,Unites!$A:$B,2,0),"-",VLOOKUP(E99,Sources!$A:$B,2,0),"-",VLOOKUP(F99,CommentaireValeurIndicateurs!$A:$B,2,0),"-",VLOOKUP(G99,NatureDonnees!$A:$B,2,0),"-",VLOOKUP(H99,Periodes!$A:$B,2,0))</f>
        <v>#N/A</v>
      </c>
      <c r="B99" s="5" t="s">
        <v>28</v>
      </c>
      <c r="C99" s="4" t="s">
        <v>136</v>
      </c>
      <c r="D99" t="s">
        <v>125</v>
      </c>
      <c r="E99" s="4" t="s">
        <v>94</v>
      </c>
      <c r="F99" s="4" t="s">
        <v>399</v>
      </c>
      <c r="G99" s="4" t="s">
        <v>400</v>
      </c>
      <c r="K99" t="s">
        <v>77</v>
      </c>
    </row>
    <row r="100" spans="1:11" x14ac:dyDescent="0.25">
      <c r="A100" t="str">
        <f>_xlfn.CONCAT(VLOOKUP(B100,Indicateurs!$A:$B,2,0),"-",VLOOKUP(C100,Zones!$A:$B,2,0),"-",_xlfn.CONCAT(IF(K100&lt;&gt;"",VLOOKUP(K100,Desagregations!$A:$B,2,0),""),IF(L100&lt;&gt;"","_",""),IF(L100&lt;&gt;"",VLOOKUP(L100,Desagregations!$A:$B,2,0),""),IF(M100&lt;&gt;"","_",""),IF(M100&lt;&gt;"",VLOOKUP(M100,Desagregations!$A:$B,2,0),""),IF(N100&lt;&gt;"","_",""),IF(N100&lt;&gt;"",VLOOKUP(N100,Desagregations!$A:$B,2,0),""),IF(O100&lt;&gt;"","_",""),IF(O100&lt;&gt;"",VLOOKUP(O100,Desagregations!$A:$B,2,0),""),IF(P100&lt;&gt;"","_",""),IF(P100&lt;&gt;"",VLOOKUP(P100,Desagregations!$A:$B,2,0),"")),"-",VLOOKUP(D100,Unites!$A:$B,2,0),"-",VLOOKUP(E100,Sources!$A:$B,2,0),"-",VLOOKUP(F100,CommentaireValeurIndicateurs!$A:$B,2,0),"-",VLOOKUP(G100,NatureDonnees!$A:$B,2,0),"-",VLOOKUP(H100,Periodes!$A:$B,2,0))</f>
        <v>1273-1-6-4-21-3-1-27</v>
      </c>
      <c r="B100" s="2" t="s">
        <v>29</v>
      </c>
      <c r="C100" s="4" t="s">
        <v>136</v>
      </c>
      <c r="D100" t="s">
        <v>125</v>
      </c>
      <c r="E100" t="s">
        <v>95</v>
      </c>
      <c r="F100" s="4" t="s">
        <v>399</v>
      </c>
      <c r="G100" s="4" t="s">
        <v>400</v>
      </c>
      <c r="H100">
        <v>2026</v>
      </c>
      <c r="I100">
        <v>8.5</v>
      </c>
      <c r="K100" t="s">
        <v>77</v>
      </c>
    </row>
    <row r="101" spans="1:11" x14ac:dyDescent="0.25">
      <c r="A101" t="str">
        <f>_xlfn.CONCAT(VLOOKUP(B101,Indicateurs!$A:$B,2,0),"-",VLOOKUP(C101,Zones!$A:$B,2,0),"-",_xlfn.CONCAT(IF(K101&lt;&gt;"",VLOOKUP(K101,Desagregations!$A:$B,2,0),""),IF(L101&lt;&gt;"","_",""),IF(L101&lt;&gt;"",VLOOKUP(L101,Desagregations!$A:$B,2,0),""),IF(M101&lt;&gt;"","_",""),IF(M101&lt;&gt;"",VLOOKUP(M101,Desagregations!$A:$B,2,0),""),IF(N101&lt;&gt;"","_",""),IF(N101&lt;&gt;"",VLOOKUP(N101,Desagregations!$A:$B,2,0),""),IF(O101&lt;&gt;"","_",""),IF(O101&lt;&gt;"",VLOOKUP(O101,Desagregations!$A:$B,2,0),""),IF(P101&lt;&gt;"","_",""),IF(P101&lt;&gt;"",VLOOKUP(P101,Desagregations!$A:$B,2,0),"")),"-",VLOOKUP(D101,Unites!$A:$B,2,0),"-",VLOOKUP(E101,Sources!$A:$B,2,0),"-",VLOOKUP(F101,CommentaireValeurIndicateurs!$A:$B,2,0),"-",VLOOKUP(G101,NatureDonnees!$A:$B,2,0),"-",VLOOKUP(H101,Periodes!$A:$B,2,0))</f>
        <v>1274-1-6-4-16-3-1-27</v>
      </c>
      <c r="B101" s="2" t="s">
        <v>30</v>
      </c>
      <c r="C101" s="4" t="s">
        <v>136</v>
      </c>
      <c r="D101" t="s">
        <v>125</v>
      </c>
      <c r="E101" t="s">
        <v>90</v>
      </c>
      <c r="F101" s="4" t="s">
        <v>399</v>
      </c>
      <c r="G101" s="4" t="s">
        <v>400</v>
      </c>
      <c r="H101">
        <v>2026</v>
      </c>
      <c r="I101">
        <v>29.45</v>
      </c>
      <c r="K101" t="s">
        <v>77</v>
      </c>
    </row>
    <row r="102" spans="1:11" x14ac:dyDescent="0.25">
      <c r="A102" t="str">
        <f>_xlfn.CONCAT(VLOOKUP(B102,Indicateurs!$A:$B,2,0),"-",VLOOKUP(C102,Zones!$A:$B,2,0),"-",_xlfn.CONCAT(IF(K102&lt;&gt;"",VLOOKUP(K102,Desagregations!$A:$B,2,0),""),IF(L102&lt;&gt;"","_",""),IF(L102&lt;&gt;"",VLOOKUP(L102,Desagregations!$A:$B,2,0),""),IF(M102&lt;&gt;"","_",""),IF(M102&lt;&gt;"",VLOOKUP(M102,Desagregations!$A:$B,2,0),""),IF(N102&lt;&gt;"","_",""),IF(N102&lt;&gt;"",VLOOKUP(N102,Desagregations!$A:$B,2,0),""),IF(O102&lt;&gt;"","_",""),IF(O102&lt;&gt;"",VLOOKUP(O102,Desagregations!$A:$B,2,0),""),IF(P102&lt;&gt;"","_",""),IF(P102&lt;&gt;"",VLOOKUP(P102,Desagregations!$A:$B,2,0),"")),"-",VLOOKUP(D102,Unites!$A:$B,2,0),"-",VLOOKUP(E102,Sources!$A:$B,2,0),"-",VLOOKUP(F102,CommentaireValeurIndicateurs!$A:$B,2,0),"-",VLOOKUP(G102,NatureDonnees!$A:$B,2,0),"-",VLOOKUP(H102,Periodes!$A:$B,2,0))</f>
        <v>1275-1-6-4-22-3-1-27</v>
      </c>
      <c r="B102" s="2" t="s">
        <v>31</v>
      </c>
      <c r="C102" s="4" t="s">
        <v>136</v>
      </c>
      <c r="D102" t="s">
        <v>125</v>
      </c>
      <c r="E102" t="s">
        <v>96</v>
      </c>
      <c r="F102" s="4" t="s">
        <v>399</v>
      </c>
      <c r="G102" s="4" t="s">
        <v>400</v>
      </c>
      <c r="H102">
        <v>2026</v>
      </c>
      <c r="I102">
        <v>46</v>
      </c>
      <c r="K102" t="s">
        <v>77</v>
      </c>
    </row>
    <row r="103" spans="1:11" x14ac:dyDescent="0.25">
      <c r="A103" t="str">
        <f>_xlfn.CONCAT(VLOOKUP(B103,Indicateurs!$A:$B,2,0),"-",VLOOKUP(C103,Zones!$A:$B,2,0),"-",_xlfn.CONCAT(IF(K103&lt;&gt;"",VLOOKUP(K103,Desagregations!$A:$B,2,0),""),IF(L103&lt;&gt;"","_",""),IF(L103&lt;&gt;"",VLOOKUP(L103,Desagregations!$A:$B,2,0),""),IF(M103&lt;&gt;"","_",""),IF(M103&lt;&gt;"",VLOOKUP(M103,Desagregations!$A:$B,2,0),""),IF(N103&lt;&gt;"","_",""),IF(N103&lt;&gt;"",VLOOKUP(N103,Desagregations!$A:$B,2,0),""),IF(O103&lt;&gt;"","_",""),IF(O103&lt;&gt;"",VLOOKUP(O103,Desagregations!$A:$B,2,0),""),IF(P103&lt;&gt;"","_",""),IF(P103&lt;&gt;"",VLOOKUP(P103,Desagregations!$A:$B,2,0),"")),"-",VLOOKUP(D103,Unites!$A:$B,2,0),"-",VLOOKUP(E103,Sources!$A:$B,2,0),"-",VLOOKUP(F103,CommentaireValeurIndicateurs!$A:$B,2,0),"-",VLOOKUP(G103,NatureDonnees!$A:$B,2,0),"-",VLOOKUP(H103,Periodes!$A:$B,2,0))</f>
        <v>1276-1-6-4-22-3-1-27</v>
      </c>
      <c r="B103" s="3" t="s">
        <v>32</v>
      </c>
      <c r="C103" s="4" t="s">
        <v>136</v>
      </c>
      <c r="D103" t="s">
        <v>125</v>
      </c>
      <c r="E103" t="s">
        <v>96</v>
      </c>
      <c r="F103" s="4" t="s">
        <v>399</v>
      </c>
      <c r="G103" s="4" t="s">
        <v>400</v>
      </c>
      <c r="H103">
        <v>2026</v>
      </c>
      <c r="I103">
        <v>7</v>
      </c>
      <c r="K103" t="s">
        <v>77</v>
      </c>
    </row>
    <row r="104" spans="1:11" x14ac:dyDescent="0.25">
      <c r="A104" t="str">
        <f>_xlfn.CONCAT(VLOOKUP(B104,Indicateurs!$A:$B,2,0),"-",VLOOKUP(C104,Zones!$A:$B,2,0),"-",_xlfn.CONCAT(IF(K104&lt;&gt;"",VLOOKUP(K104,Desagregations!$A:$B,2,0),""),IF(L104&lt;&gt;"","_",""),IF(L104&lt;&gt;"",VLOOKUP(L104,Desagregations!$A:$B,2,0),""),IF(M104&lt;&gt;"","_",""),IF(M104&lt;&gt;"",VLOOKUP(M104,Desagregations!$A:$B,2,0),""),IF(N104&lt;&gt;"","_",""),IF(N104&lt;&gt;"",VLOOKUP(N104,Desagregations!$A:$B,2,0),""),IF(O104&lt;&gt;"","_",""),IF(O104&lt;&gt;"",VLOOKUP(O104,Desagregations!$A:$B,2,0),""),IF(P104&lt;&gt;"","_",""),IF(P104&lt;&gt;"",VLOOKUP(P104,Desagregations!$A:$B,2,0),"")),"-",VLOOKUP(D104,Unites!$A:$B,2,0),"-",VLOOKUP(E104,Sources!$A:$B,2,0),"-",VLOOKUP(F104,CommentaireValeurIndicateurs!$A:$B,2,0),"-",VLOOKUP(G104,NatureDonnees!$A:$B,2,0),"-",VLOOKUP(H104,Periodes!$A:$B,2,0))</f>
        <v>1277-1-6-4-22-3-1-27</v>
      </c>
      <c r="B104" s="3" t="s">
        <v>33</v>
      </c>
      <c r="C104" s="4" t="s">
        <v>136</v>
      </c>
      <c r="D104" t="s">
        <v>125</v>
      </c>
      <c r="E104" t="s">
        <v>96</v>
      </c>
      <c r="F104" s="4" t="s">
        <v>399</v>
      </c>
      <c r="G104" s="4" t="s">
        <v>400</v>
      </c>
      <c r="H104">
        <v>2026</v>
      </c>
      <c r="I104">
        <v>5</v>
      </c>
      <c r="K104" t="s">
        <v>77</v>
      </c>
    </row>
    <row r="105" spans="1:11" x14ac:dyDescent="0.25">
      <c r="A105" t="str">
        <f>_xlfn.CONCAT(VLOOKUP(B105,Indicateurs!$A:$B,2,0),"-",VLOOKUP(C105,Zones!$A:$B,2,0),"-",_xlfn.CONCAT(IF(K105&lt;&gt;"",VLOOKUP(K105,Desagregations!$A:$B,2,0),""),IF(L105&lt;&gt;"","_",""),IF(L105&lt;&gt;"",VLOOKUP(L105,Desagregations!$A:$B,2,0),""),IF(M105&lt;&gt;"","_",""),IF(M105&lt;&gt;"",VLOOKUP(M105,Desagregations!$A:$B,2,0),""),IF(N105&lt;&gt;"","_",""),IF(N105&lt;&gt;"",VLOOKUP(N105,Desagregations!$A:$B,2,0),""),IF(O105&lt;&gt;"","_",""),IF(O105&lt;&gt;"",VLOOKUP(O105,Desagregations!$A:$B,2,0),""),IF(P105&lt;&gt;"","_",""),IF(P105&lt;&gt;"",VLOOKUP(P105,Desagregations!$A:$B,2,0),"")),"-",VLOOKUP(D105,Unites!$A:$B,2,0),"-",VLOOKUP(E105,Sources!$A:$B,2,0),"-",VLOOKUP(F105,CommentaireValeurIndicateurs!$A:$B,2,0),"-",VLOOKUP(G105,NatureDonnees!$A:$B,2,0),"-",VLOOKUP(H105,Periodes!$A:$B,2,0))</f>
        <v>1278-1-6-4-16-3-1-27</v>
      </c>
      <c r="B105" s="2" t="s">
        <v>34</v>
      </c>
      <c r="C105" s="4" t="s">
        <v>136</v>
      </c>
      <c r="D105" t="s">
        <v>125</v>
      </c>
      <c r="E105" t="s">
        <v>90</v>
      </c>
      <c r="F105" s="4" t="s">
        <v>399</v>
      </c>
      <c r="G105" s="4" t="s">
        <v>400</v>
      </c>
      <c r="H105">
        <v>2026</v>
      </c>
      <c r="I105">
        <v>6.9</v>
      </c>
      <c r="K105" t="s">
        <v>77</v>
      </c>
    </row>
    <row r="106" spans="1:11" x14ac:dyDescent="0.25">
      <c r="A106" t="str">
        <f>_xlfn.CONCAT(VLOOKUP(B106,Indicateurs!$A:$B,2,0),"-",VLOOKUP(C106,Zones!$A:$B,2,0),"-",_xlfn.CONCAT(IF(K106&lt;&gt;"",VLOOKUP(K106,Desagregations!$A:$B,2,0),""),IF(L106&lt;&gt;"","_",""),IF(L106&lt;&gt;"",VLOOKUP(L106,Desagregations!$A:$B,2,0),""),IF(M106&lt;&gt;"","_",""),IF(M106&lt;&gt;"",VLOOKUP(M106,Desagregations!$A:$B,2,0),""),IF(N106&lt;&gt;"","_",""),IF(N106&lt;&gt;"",VLOOKUP(N106,Desagregations!$A:$B,2,0),""),IF(O106&lt;&gt;"","_",""),IF(O106&lt;&gt;"",VLOOKUP(O106,Desagregations!$A:$B,2,0),""),IF(P106&lt;&gt;"","_",""),IF(P106&lt;&gt;"",VLOOKUP(P106,Desagregations!$A:$B,2,0),"")),"-",VLOOKUP(D106,Unites!$A:$B,2,0),"-",VLOOKUP(E106,Sources!$A:$B,2,0),"-",VLOOKUP(F106,CommentaireValeurIndicateurs!$A:$B,2,0),"-",VLOOKUP(G106,NatureDonnees!$A:$B,2,0),"-",VLOOKUP(H106,Periodes!$A:$B,2,0))</f>
        <v>1279-1-6-4-23-3-1-27</v>
      </c>
      <c r="B106" s="2" t="s">
        <v>35</v>
      </c>
      <c r="C106" s="4" t="s">
        <v>136</v>
      </c>
      <c r="D106" t="s">
        <v>125</v>
      </c>
      <c r="E106" t="s">
        <v>97</v>
      </c>
      <c r="F106" s="4" t="s">
        <v>399</v>
      </c>
      <c r="G106" s="4" t="s">
        <v>400</v>
      </c>
      <c r="H106">
        <v>2026</v>
      </c>
      <c r="I106">
        <v>41.8</v>
      </c>
      <c r="K106" t="s">
        <v>77</v>
      </c>
    </row>
    <row r="107" spans="1:11" x14ac:dyDescent="0.25">
      <c r="A107" t="str">
        <f>_xlfn.CONCAT(VLOOKUP(B107,Indicateurs!$A:$B,2,0),"-",VLOOKUP(C107,Zones!$A:$B,2,0),"-",_xlfn.CONCAT(IF(K107&lt;&gt;"",VLOOKUP(K107,Desagregations!$A:$B,2,0),""),IF(L107&lt;&gt;"","_",""),IF(L107&lt;&gt;"",VLOOKUP(L107,Desagregations!$A:$B,2,0),""),IF(M107&lt;&gt;"","_",""),IF(M107&lt;&gt;"",VLOOKUP(M107,Desagregations!$A:$B,2,0),""),IF(N107&lt;&gt;"","_",""),IF(N107&lt;&gt;"",VLOOKUP(N107,Desagregations!$A:$B,2,0),""),IF(O107&lt;&gt;"","_",""),IF(O107&lt;&gt;"",VLOOKUP(O107,Desagregations!$A:$B,2,0),""),IF(P107&lt;&gt;"","_",""),IF(P107&lt;&gt;"",VLOOKUP(P107,Desagregations!$A:$B,2,0),"")),"-",VLOOKUP(D107,Unites!$A:$B,2,0),"-",VLOOKUP(E107,Sources!$A:$B,2,0),"-",VLOOKUP(F107,CommentaireValeurIndicateurs!$A:$B,2,0),"-",VLOOKUP(G107,NatureDonnees!$A:$B,2,0),"-",VLOOKUP(H107,Periodes!$A:$B,2,0))</f>
        <v>1280-1-6-4-24-3-1-27</v>
      </c>
      <c r="B107" s="2" t="s">
        <v>36</v>
      </c>
      <c r="C107" s="4" t="s">
        <v>136</v>
      </c>
      <c r="D107" t="s">
        <v>125</v>
      </c>
      <c r="E107" t="s">
        <v>98</v>
      </c>
      <c r="F107" s="4" t="s">
        <v>399</v>
      </c>
      <c r="G107" s="4" t="s">
        <v>400</v>
      </c>
      <c r="H107">
        <v>2026</v>
      </c>
      <c r="I107">
        <v>17.899999999999999</v>
      </c>
      <c r="K107" t="s">
        <v>77</v>
      </c>
    </row>
    <row r="108" spans="1:11" x14ac:dyDescent="0.25">
      <c r="A108" t="str">
        <f>_xlfn.CONCAT(VLOOKUP(B108,Indicateurs!$A:$B,2,0),"-",VLOOKUP(C108,Zones!$A:$B,2,0),"-",_xlfn.CONCAT(IF(K108&lt;&gt;"",VLOOKUP(K108,Desagregations!$A:$B,2,0),""),IF(L108&lt;&gt;"","_",""),IF(L108&lt;&gt;"",VLOOKUP(L108,Desagregations!$A:$B,2,0),""),IF(M108&lt;&gt;"","_",""),IF(M108&lt;&gt;"",VLOOKUP(M108,Desagregations!$A:$B,2,0),""),IF(N108&lt;&gt;"","_",""),IF(N108&lt;&gt;"",VLOOKUP(N108,Desagregations!$A:$B,2,0),""),IF(O108&lt;&gt;"","_",""),IF(O108&lt;&gt;"",VLOOKUP(O108,Desagregations!$A:$B,2,0),""),IF(P108&lt;&gt;"","_",""),IF(P108&lt;&gt;"",VLOOKUP(P108,Desagregations!$A:$B,2,0),"")),"-",VLOOKUP(D108,Unites!$A:$B,2,0),"-",VLOOKUP(E108,Sources!$A:$B,2,0),"-",VLOOKUP(F108,CommentaireValeurIndicateurs!$A:$B,2,0),"-",VLOOKUP(G108,NatureDonnees!$A:$B,2,0),"-",VLOOKUP(H108,Periodes!$A:$B,2,0))</f>
        <v>1281-1-6-4-25-3-1-27</v>
      </c>
      <c r="B108" s="2" t="s">
        <v>37</v>
      </c>
      <c r="C108" s="4" t="s">
        <v>136</v>
      </c>
      <c r="D108" t="s">
        <v>125</v>
      </c>
      <c r="E108" t="s">
        <v>99</v>
      </c>
      <c r="F108" s="4" t="s">
        <v>399</v>
      </c>
      <c r="G108" s="4" t="s">
        <v>400</v>
      </c>
      <c r="H108">
        <v>2026</v>
      </c>
      <c r="I108">
        <v>36</v>
      </c>
      <c r="K108" t="s">
        <v>77</v>
      </c>
    </row>
    <row r="109" spans="1:11" x14ac:dyDescent="0.25">
      <c r="A109" t="str">
        <f>_xlfn.CONCAT(VLOOKUP(B109,Indicateurs!$A:$B,2,0),"-",VLOOKUP(C109,Zones!$A:$B,2,0),"-",_xlfn.CONCAT(IF(K109&lt;&gt;"",VLOOKUP(K109,Desagregations!$A:$B,2,0),""),IF(L109&lt;&gt;"","_",""),IF(L109&lt;&gt;"",VLOOKUP(L109,Desagregations!$A:$B,2,0),""),IF(M109&lt;&gt;"","_",""),IF(M109&lt;&gt;"",VLOOKUP(M109,Desagregations!$A:$B,2,0),""),IF(N109&lt;&gt;"","_",""),IF(N109&lt;&gt;"",VLOOKUP(N109,Desagregations!$A:$B,2,0),""),IF(O109&lt;&gt;"","_",""),IF(O109&lt;&gt;"",VLOOKUP(O109,Desagregations!$A:$B,2,0),""),IF(P109&lt;&gt;"","_",""),IF(P109&lt;&gt;"",VLOOKUP(P109,Desagregations!$A:$B,2,0),"")),"-",VLOOKUP(D109,Unites!$A:$B,2,0),"-",VLOOKUP(E109,Sources!$A:$B,2,0),"-",VLOOKUP(F109,CommentaireValeurIndicateurs!$A:$B,2,0),"-",VLOOKUP(G109,NatureDonnees!$A:$B,2,0),"-",VLOOKUP(H109,Periodes!$A:$B,2,0))</f>
        <v>1282-1-6-4-25-3-1-27</v>
      </c>
      <c r="B109" s="2" t="s">
        <v>38</v>
      </c>
      <c r="C109" s="4" t="s">
        <v>136</v>
      </c>
      <c r="D109" t="s">
        <v>125</v>
      </c>
      <c r="E109" t="s">
        <v>99</v>
      </c>
      <c r="F109" s="4" t="s">
        <v>399</v>
      </c>
      <c r="G109" s="4" t="s">
        <v>400</v>
      </c>
      <c r="H109">
        <v>2026</v>
      </c>
      <c r="I109">
        <v>61</v>
      </c>
      <c r="K109" t="s">
        <v>77</v>
      </c>
    </row>
    <row r="110" spans="1:11" x14ac:dyDescent="0.25">
      <c r="A110" t="str">
        <f>_xlfn.CONCAT(VLOOKUP(B110,Indicateurs!$A:$B,2,0),"-",VLOOKUP(C110,Zones!$A:$B,2,0),"-",_xlfn.CONCAT(IF(K110&lt;&gt;"",VLOOKUP(K110,Desagregations!$A:$B,2,0),""),IF(L110&lt;&gt;"","_",""),IF(L110&lt;&gt;"",VLOOKUP(L110,Desagregations!$A:$B,2,0),""),IF(M110&lt;&gt;"","_",""),IF(M110&lt;&gt;"",VLOOKUP(M110,Desagregations!$A:$B,2,0),""),IF(N110&lt;&gt;"","_",""),IF(N110&lt;&gt;"",VLOOKUP(N110,Desagregations!$A:$B,2,0),""),IF(O110&lt;&gt;"","_",""),IF(O110&lt;&gt;"",VLOOKUP(O110,Desagregations!$A:$B,2,0),""),IF(P110&lt;&gt;"","_",""),IF(P110&lt;&gt;"",VLOOKUP(P110,Desagregations!$A:$B,2,0),"")),"-",VLOOKUP(D110,Unites!$A:$B,2,0),"-",VLOOKUP(E110,Sources!$A:$B,2,0),"-",VLOOKUP(F110,CommentaireValeurIndicateurs!$A:$B,2,0),"-",VLOOKUP(G110,NatureDonnees!$A:$B,2,0),"-",VLOOKUP(H110,Periodes!$A:$B,2,0))</f>
        <v>1283-1-6-4-26-3-1-27</v>
      </c>
      <c r="B110" s="2" t="s">
        <v>39</v>
      </c>
      <c r="C110" s="4" t="s">
        <v>136</v>
      </c>
      <c r="D110" t="s">
        <v>125</v>
      </c>
      <c r="E110" t="s">
        <v>100</v>
      </c>
      <c r="F110" s="4" t="s">
        <v>399</v>
      </c>
      <c r="G110" s="4" t="s">
        <v>400</v>
      </c>
      <c r="H110">
        <v>2026</v>
      </c>
      <c r="I110">
        <v>4</v>
      </c>
      <c r="K110" t="s">
        <v>77</v>
      </c>
    </row>
    <row r="111" spans="1:11" x14ac:dyDescent="0.25">
      <c r="A111" t="str">
        <f>_xlfn.CONCAT(VLOOKUP(B111,Indicateurs!$A:$B,2,0),"-",VLOOKUP(C111,Zones!$A:$B,2,0),"-",_xlfn.CONCAT(IF(K111&lt;&gt;"",VLOOKUP(K111,Desagregations!$A:$B,2,0),""),IF(L111&lt;&gt;"","_",""),IF(L111&lt;&gt;"",VLOOKUP(L111,Desagregations!$A:$B,2,0),""),IF(M111&lt;&gt;"","_",""),IF(M111&lt;&gt;"",VLOOKUP(M111,Desagregations!$A:$B,2,0),""),IF(N111&lt;&gt;"","_",""),IF(N111&lt;&gt;"",VLOOKUP(N111,Desagregations!$A:$B,2,0),""),IF(O111&lt;&gt;"","_",""),IF(O111&lt;&gt;"",VLOOKUP(O111,Desagregations!$A:$B,2,0),""),IF(P111&lt;&gt;"","_",""),IF(P111&lt;&gt;"",VLOOKUP(P111,Desagregations!$A:$B,2,0),"")),"-",VLOOKUP(D111,Unites!$A:$B,2,0),"-",VLOOKUP(E111,Sources!$A:$B,2,0),"-",VLOOKUP(F111,CommentaireValeurIndicateurs!$A:$B,2,0),"-",VLOOKUP(G111,NatureDonnees!$A:$B,2,0),"-",VLOOKUP(H111,Periodes!$A:$B,2,0))</f>
        <v>1284-1-6-4-26-3-1-27</v>
      </c>
      <c r="B111" s="2" t="s">
        <v>40</v>
      </c>
      <c r="C111" s="4" t="s">
        <v>136</v>
      </c>
      <c r="D111" t="s">
        <v>125</v>
      </c>
      <c r="E111" t="s">
        <v>100</v>
      </c>
      <c r="F111" s="4" t="s">
        <v>399</v>
      </c>
      <c r="G111" s="4" t="s">
        <v>400</v>
      </c>
      <c r="H111">
        <v>2026</v>
      </c>
      <c r="I111">
        <v>7.1</v>
      </c>
      <c r="K111" t="s">
        <v>77</v>
      </c>
    </row>
    <row r="112" spans="1:11" x14ac:dyDescent="0.25">
      <c r="A112" t="str">
        <f>_xlfn.CONCAT(VLOOKUP(B112,Indicateurs!$A:$B,2,0),"-",VLOOKUP(C112,Zones!$A:$B,2,0),"-",_xlfn.CONCAT(IF(K112&lt;&gt;"",VLOOKUP(K112,Desagregations!$A:$B,2,0),""),IF(L112&lt;&gt;"","_",""),IF(L112&lt;&gt;"",VLOOKUP(L112,Desagregations!$A:$B,2,0),""),IF(M112&lt;&gt;"","_",""),IF(M112&lt;&gt;"",VLOOKUP(M112,Desagregations!$A:$B,2,0),""),IF(N112&lt;&gt;"","_",""),IF(N112&lt;&gt;"",VLOOKUP(N112,Desagregations!$A:$B,2,0),""),IF(O112&lt;&gt;"","_",""),IF(O112&lt;&gt;"",VLOOKUP(O112,Desagregations!$A:$B,2,0),""),IF(P112&lt;&gt;"","_",""),IF(P112&lt;&gt;"",VLOOKUP(P112,Desagregations!$A:$B,2,0),"")),"-",VLOOKUP(D112,Unites!$A:$B,2,0),"-",VLOOKUP(E112,Sources!$A:$B,2,0),"-",VLOOKUP(F112,CommentaireValeurIndicateurs!$A:$B,2,0),"-",VLOOKUP(G112,NatureDonnees!$A:$B,2,0),"-",VLOOKUP(H112,Periodes!$A:$B,2,0))</f>
        <v>1285-1-6-4-27-3-1-27</v>
      </c>
      <c r="B112" s="2" t="s">
        <v>41</v>
      </c>
      <c r="C112" s="4" t="s">
        <v>136</v>
      </c>
      <c r="D112" t="s">
        <v>125</v>
      </c>
      <c r="E112" t="s">
        <v>101</v>
      </c>
      <c r="F112" s="4" t="s">
        <v>399</v>
      </c>
      <c r="G112" s="4" t="s">
        <v>400</v>
      </c>
      <c r="H112">
        <v>2026</v>
      </c>
      <c r="I112">
        <v>35</v>
      </c>
      <c r="K112" t="s">
        <v>77</v>
      </c>
    </row>
    <row r="113" spans="1:11" x14ac:dyDescent="0.25">
      <c r="A113" t="str">
        <f>_xlfn.CONCAT(VLOOKUP(B113,Indicateurs!$A:$B,2,0),"-",VLOOKUP(C113,Zones!$A:$B,2,0),"-",_xlfn.CONCAT(IF(K113&lt;&gt;"",VLOOKUP(K113,Desagregations!$A:$B,2,0),""),IF(L113&lt;&gt;"","_",""),IF(L113&lt;&gt;"",VLOOKUP(L113,Desagregations!$A:$B,2,0),""),IF(M113&lt;&gt;"","_",""),IF(M113&lt;&gt;"",VLOOKUP(M113,Desagregations!$A:$B,2,0),""),IF(N113&lt;&gt;"","_",""),IF(N113&lt;&gt;"",VLOOKUP(N113,Desagregations!$A:$B,2,0),""),IF(O113&lt;&gt;"","_",""),IF(O113&lt;&gt;"",VLOOKUP(O113,Desagregations!$A:$B,2,0),""),IF(P113&lt;&gt;"","_",""),IF(P113&lt;&gt;"",VLOOKUP(P113,Desagregations!$A:$B,2,0),"")),"-",VLOOKUP(D113,Unites!$A:$B,2,0),"-",VLOOKUP(E113,Sources!$A:$B,2,0),"-",VLOOKUP(F113,CommentaireValeurIndicateurs!$A:$B,2,0),"-",VLOOKUP(G113,NatureDonnees!$A:$B,2,0),"-",VLOOKUP(H113,Periodes!$A:$B,2,0))</f>
        <v>1286-1-6-10-28-3-1-27</v>
      </c>
      <c r="B113" s="2" t="s">
        <v>42</v>
      </c>
      <c r="C113" s="4" t="s">
        <v>136</v>
      </c>
      <c r="D113" t="s">
        <v>131</v>
      </c>
      <c r="E113" t="s">
        <v>102</v>
      </c>
      <c r="F113" s="4" t="s">
        <v>399</v>
      </c>
      <c r="G113" s="4" t="s">
        <v>400</v>
      </c>
      <c r="H113">
        <v>2026</v>
      </c>
      <c r="I113">
        <v>12.84</v>
      </c>
      <c r="K113" t="s">
        <v>77</v>
      </c>
    </row>
    <row r="114" spans="1:11" x14ac:dyDescent="0.25">
      <c r="A114" t="str">
        <f>_xlfn.CONCAT(VLOOKUP(B114,Indicateurs!$A:$B,2,0),"-",VLOOKUP(C114,Zones!$A:$B,2,0),"-",_xlfn.CONCAT(IF(K114&lt;&gt;"",VLOOKUP(K114,Desagregations!$A:$B,2,0),""),IF(L114&lt;&gt;"","_",""),IF(L114&lt;&gt;"",VLOOKUP(L114,Desagregations!$A:$B,2,0),""),IF(M114&lt;&gt;"","_",""),IF(M114&lt;&gt;"",VLOOKUP(M114,Desagregations!$A:$B,2,0),""),IF(N114&lt;&gt;"","_",""),IF(N114&lt;&gt;"",VLOOKUP(N114,Desagregations!$A:$B,2,0),""),IF(O114&lt;&gt;"","_",""),IF(O114&lt;&gt;"",VLOOKUP(O114,Desagregations!$A:$B,2,0),""),IF(P114&lt;&gt;"","_",""),IF(P114&lt;&gt;"",VLOOKUP(P114,Desagregations!$A:$B,2,0),"")),"-",VLOOKUP(D114,Unites!$A:$B,2,0),"-",VLOOKUP(E114,Sources!$A:$B,2,0),"-",VLOOKUP(F114,CommentaireValeurIndicateurs!$A:$B,2,0),"-",VLOOKUP(G114,NatureDonnees!$A:$B,2,0),"-",VLOOKUP(H114,Periodes!$A:$B,2,0))</f>
        <v>1287-1-6-6-29-3-1-27</v>
      </c>
      <c r="B114" s="2" t="s">
        <v>43</v>
      </c>
      <c r="C114" s="4" t="s">
        <v>136</v>
      </c>
      <c r="D114" t="s">
        <v>127</v>
      </c>
      <c r="E114" t="s">
        <v>103</v>
      </c>
      <c r="F114" s="4" t="s">
        <v>399</v>
      </c>
      <c r="G114" s="4" t="s">
        <v>400</v>
      </c>
      <c r="H114">
        <v>2026</v>
      </c>
      <c r="I114">
        <v>25</v>
      </c>
      <c r="K114" t="s">
        <v>77</v>
      </c>
    </row>
    <row r="115" spans="1:11" x14ac:dyDescent="0.25">
      <c r="A115" t="str">
        <f>_xlfn.CONCAT(VLOOKUP(B115,Indicateurs!$A:$B,2,0),"-",VLOOKUP(C115,Zones!$A:$B,2,0),"-",_xlfn.CONCAT(IF(K115&lt;&gt;"",VLOOKUP(K115,Desagregations!$A:$B,2,0),""),IF(L115&lt;&gt;"","_",""),IF(L115&lt;&gt;"",VLOOKUP(L115,Desagregations!$A:$B,2,0),""),IF(M115&lt;&gt;"","_",""),IF(M115&lt;&gt;"",VLOOKUP(M115,Desagregations!$A:$B,2,0),""),IF(N115&lt;&gt;"","_",""),IF(N115&lt;&gt;"",VLOOKUP(N115,Desagregations!$A:$B,2,0),""),IF(O115&lt;&gt;"","_",""),IF(O115&lt;&gt;"",VLOOKUP(O115,Desagregations!$A:$B,2,0),""),IF(P115&lt;&gt;"","_",""),IF(P115&lt;&gt;"",VLOOKUP(P115,Desagregations!$A:$B,2,0),"")),"-",VLOOKUP(D115,Unites!$A:$B,2,0),"-",VLOOKUP(E115,Sources!$A:$B,2,0),"-",VLOOKUP(F115,CommentaireValeurIndicateurs!$A:$B,2,0),"-",VLOOKUP(G115,NatureDonnees!$A:$B,2,0),"-",VLOOKUP(H115,Periodes!$A:$B,2,0))</f>
        <v>1288-1-6-4-30-3-1-27</v>
      </c>
      <c r="B115" s="2" t="s">
        <v>44</v>
      </c>
      <c r="C115" s="4" t="s">
        <v>136</v>
      </c>
      <c r="D115" t="s">
        <v>125</v>
      </c>
      <c r="E115" s="4" t="s">
        <v>104</v>
      </c>
      <c r="F115" s="4" t="s">
        <v>399</v>
      </c>
      <c r="G115" s="4" t="s">
        <v>400</v>
      </c>
      <c r="H115">
        <v>2026</v>
      </c>
      <c r="I115">
        <v>100</v>
      </c>
      <c r="K115" t="s">
        <v>77</v>
      </c>
    </row>
    <row r="116" spans="1:11" x14ac:dyDescent="0.25">
      <c r="A116" t="str">
        <f>_xlfn.CONCAT(VLOOKUP(B116,Indicateurs!$A:$B,2,0),"-",VLOOKUP(C116,Zones!$A:$B,2,0),"-",_xlfn.CONCAT(IF(K116&lt;&gt;"",VLOOKUP(K116,Desagregations!$A:$B,2,0),""),IF(L116&lt;&gt;"","_",""),IF(L116&lt;&gt;"",VLOOKUP(L116,Desagregations!$A:$B,2,0),""),IF(M116&lt;&gt;"","_",""),IF(M116&lt;&gt;"",VLOOKUP(M116,Desagregations!$A:$B,2,0),""),IF(N116&lt;&gt;"","_",""),IF(N116&lt;&gt;"",VLOOKUP(N116,Desagregations!$A:$B,2,0),""),IF(O116&lt;&gt;"","_",""),IF(O116&lt;&gt;"",VLOOKUP(O116,Desagregations!$A:$B,2,0),""),IF(P116&lt;&gt;"","_",""),IF(P116&lt;&gt;"",VLOOKUP(P116,Desagregations!$A:$B,2,0),"")),"-",VLOOKUP(D116,Unites!$A:$B,2,0),"-",VLOOKUP(E116,Sources!$A:$B,2,0),"-",VLOOKUP(F116,CommentaireValeurIndicateurs!$A:$B,2,0),"-",VLOOKUP(G116,NatureDonnees!$A:$B,2,0),"-",VLOOKUP(H116,Periodes!$A:$B,2,0))</f>
        <v>1289-1-6-4-30-3-1-27</v>
      </c>
      <c r="B116" s="2" t="s">
        <v>45</v>
      </c>
      <c r="C116" s="4" t="s">
        <v>136</v>
      </c>
      <c r="D116" t="s">
        <v>125</v>
      </c>
      <c r="E116" s="4" t="s">
        <v>104</v>
      </c>
      <c r="F116" s="4" t="s">
        <v>399</v>
      </c>
      <c r="G116" s="4" t="s">
        <v>400</v>
      </c>
      <c r="H116">
        <v>2026</v>
      </c>
      <c r="I116">
        <v>66</v>
      </c>
      <c r="K116" t="s">
        <v>77</v>
      </c>
    </row>
    <row r="117" spans="1:11" x14ac:dyDescent="0.25">
      <c r="A117" t="str">
        <f>_xlfn.CONCAT(VLOOKUP(B117,Indicateurs!$A:$B,2,0),"-",VLOOKUP(C117,Zones!$A:$B,2,0),"-",_xlfn.CONCAT(IF(K117&lt;&gt;"",VLOOKUP(K117,Desagregations!$A:$B,2,0),""),IF(L117&lt;&gt;"","_",""),IF(L117&lt;&gt;"",VLOOKUP(L117,Desagregations!$A:$B,2,0),""),IF(M117&lt;&gt;"","_",""),IF(M117&lt;&gt;"",VLOOKUP(M117,Desagregations!$A:$B,2,0),""),IF(N117&lt;&gt;"","_",""),IF(N117&lt;&gt;"",VLOOKUP(N117,Desagregations!$A:$B,2,0),""),IF(O117&lt;&gt;"","_",""),IF(O117&lt;&gt;"",VLOOKUP(O117,Desagregations!$A:$B,2,0),""),IF(P117&lt;&gt;"","_",""),IF(P117&lt;&gt;"",VLOOKUP(P117,Desagregations!$A:$B,2,0),"")),"-",VLOOKUP(D117,Unites!$A:$B,2,0),"-",VLOOKUP(E117,Sources!$A:$B,2,0),"-",VLOOKUP(F117,CommentaireValeurIndicateurs!$A:$B,2,0),"-",VLOOKUP(G117,NatureDonnees!$A:$B,2,0),"-",VLOOKUP(H117,Periodes!$A:$B,2,0))</f>
        <v>1290-1-6-4-4-3-1-27</v>
      </c>
      <c r="B117" s="2" t="s">
        <v>46</v>
      </c>
      <c r="C117" s="4" t="s">
        <v>136</v>
      </c>
      <c r="D117" t="s">
        <v>125</v>
      </c>
      <c r="E117" t="s">
        <v>78</v>
      </c>
      <c r="F117" s="4" t="s">
        <v>399</v>
      </c>
      <c r="G117" s="4" t="s">
        <v>400</v>
      </c>
      <c r="H117">
        <v>2026</v>
      </c>
      <c r="I117">
        <v>39.92</v>
      </c>
      <c r="K117" t="s">
        <v>77</v>
      </c>
    </row>
    <row r="118" spans="1:11" x14ac:dyDescent="0.25">
      <c r="A118" t="str">
        <f>_xlfn.CONCAT(VLOOKUP(B118,Indicateurs!$A:$B,2,0),"-",VLOOKUP(C118,Zones!$A:$B,2,0),"-",_xlfn.CONCAT(IF(K118&lt;&gt;"",VLOOKUP(K118,Desagregations!$A:$B,2,0),""),IF(L118&lt;&gt;"","_",""),IF(L118&lt;&gt;"",VLOOKUP(L118,Desagregations!$A:$B,2,0),""),IF(M118&lt;&gt;"","_",""),IF(M118&lt;&gt;"",VLOOKUP(M118,Desagregations!$A:$B,2,0),""),IF(N118&lt;&gt;"","_",""),IF(N118&lt;&gt;"",VLOOKUP(N118,Desagregations!$A:$B,2,0),""),IF(O118&lt;&gt;"","_",""),IF(O118&lt;&gt;"",VLOOKUP(O118,Desagregations!$A:$B,2,0),""),IF(P118&lt;&gt;"","_",""),IF(P118&lt;&gt;"",VLOOKUP(P118,Desagregations!$A:$B,2,0),"")),"-",VLOOKUP(D118,Unites!$A:$B,2,0),"-",VLOOKUP(E118,Sources!$A:$B,2,0),"-",VLOOKUP(F118,CommentaireValeurIndicateurs!$A:$B,2,0),"-",VLOOKUP(G118,NatureDonnees!$A:$B,2,0),"-",VLOOKUP(H118,Periodes!$A:$B,2,0))</f>
        <v>1291-1-6-11-31-3-1-27</v>
      </c>
      <c r="B118" s="2" t="s">
        <v>47</v>
      </c>
      <c r="C118" s="4" t="s">
        <v>136</v>
      </c>
      <c r="D118" t="s">
        <v>132</v>
      </c>
      <c r="E118" t="s">
        <v>105</v>
      </c>
      <c r="F118" s="4" t="s">
        <v>399</v>
      </c>
      <c r="G118" s="4" t="s">
        <v>400</v>
      </c>
      <c r="H118">
        <v>2026</v>
      </c>
      <c r="I118">
        <v>62</v>
      </c>
      <c r="K118" t="s">
        <v>77</v>
      </c>
    </row>
    <row r="119" spans="1:11" x14ac:dyDescent="0.25">
      <c r="A119" t="str">
        <f>_xlfn.CONCAT(VLOOKUP(B119,Indicateurs!$A:$B,2,0),"-",VLOOKUP(C119,Zones!$A:$B,2,0),"-",_xlfn.CONCAT(IF(K119&lt;&gt;"",VLOOKUP(K119,Desagregations!$A:$B,2,0),""),IF(L119&lt;&gt;"","_",""),IF(L119&lt;&gt;"",VLOOKUP(L119,Desagregations!$A:$B,2,0),""),IF(M119&lt;&gt;"","_",""),IF(M119&lt;&gt;"",VLOOKUP(M119,Desagregations!$A:$B,2,0),""),IF(N119&lt;&gt;"","_",""),IF(N119&lt;&gt;"",VLOOKUP(N119,Desagregations!$A:$B,2,0),""),IF(O119&lt;&gt;"","_",""),IF(O119&lt;&gt;"",VLOOKUP(O119,Desagregations!$A:$B,2,0),""),IF(P119&lt;&gt;"","_",""),IF(P119&lt;&gt;"",VLOOKUP(P119,Desagregations!$A:$B,2,0),"")),"-",VLOOKUP(D119,Unites!$A:$B,2,0),"-",VLOOKUP(E119,Sources!$A:$B,2,0),"-",VLOOKUP(F119,CommentaireValeurIndicateurs!$A:$B,2,0),"-",VLOOKUP(G119,NatureDonnees!$A:$B,2,0),"-",VLOOKUP(H119,Periodes!$A:$B,2,0))</f>
        <v>1292-1-6-12-32-3-1-27</v>
      </c>
      <c r="B119" s="2" t="s">
        <v>48</v>
      </c>
      <c r="C119" s="4" t="s">
        <v>136</v>
      </c>
      <c r="D119" t="s">
        <v>133</v>
      </c>
      <c r="E119" t="s">
        <v>106</v>
      </c>
      <c r="F119" s="4" t="s">
        <v>399</v>
      </c>
      <c r="G119" s="4" t="s">
        <v>400</v>
      </c>
      <c r="H119">
        <v>2026</v>
      </c>
      <c r="I119">
        <v>264</v>
      </c>
      <c r="K119" t="s">
        <v>77</v>
      </c>
    </row>
    <row r="120" spans="1:11" x14ac:dyDescent="0.25">
      <c r="A120" t="str">
        <f>_xlfn.CONCAT(VLOOKUP(B120,Indicateurs!$A:$B,2,0),"-",VLOOKUP(C120,Zones!$A:$B,2,0),"-",_xlfn.CONCAT(IF(K120&lt;&gt;"",VLOOKUP(K120,Desagregations!$A:$B,2,0),""),IF(L120&lt;&gt;"","_",""),IF(L120&lt;&gt;"",VLOOKUP(L120,Desagregations!$A:$B,2,0),""),IF(M120&lt;&gt;"","_",""),IF(M120&lt;&gt;"",VLOOKUP(M120,Desagregations!$A:$B,2,0),""),IF(N120&lt;&gt;"","_",""),IF(N120&lt;&gt;"",VLOOKUP(N120,Desagregations!$A:$B,2,0),""),IF(O120&lt;&gt;"","_",""),IF(O120&lt;&gt;"",VLOOKUP(O120,Desagregations!$A:$B,2,0),""),IF(P120&lt;&gt;"","_",""),IF(P120&lt;&gt;"",VLOOKUP(P120,Desagregations!$A:$B,2,0),"")),"-",VLOOKUP(D120,Unites!$A:$B,2,0),"-",VLOOKUP(E120,Sources!$A:$B,2,0),"-",VLOOKUP(F120,CommentaireValeurIndicateurs!$A:$B,2,0),"-",VLOOKUP(G120,NatureDonnees!$A:$B,2,0),"-",VLOOKUP(H120,Periodes!$A:$B,2,0))</f>
        <v>1293-1-6-4-33-3-1-27</v>
      </c>
      <c r="B120" s="2" t="s">
        <v>49</v>
      </c>
      <c r="C120" s="4" t="s">
        <v>136</v>
      </c>
      <c r="D120" t="s">
        <v>125</v>
      </c>
      <c r="E120" t="s">
        <v>107</v>
      </c>
      <c r="F120" s="4" t="s">
        <v>399</v>
      </c>
      <c r="G120" s="4" t="s">
        <v>400</v>
      </c>
      <c r="H120">
        <v>2026</v>
      </c>
      <c r="I120">
        <v>46.3</v>
      </c>
      <c r="K120" t="s">
        <v>77</v>
      </c>
    </row>
    <row r="121" spans="1:11" x14ac:dyDescent="0.25">
      <c r="A121" t="str">
        <f>_xlfn.CONCAT(VLOOKUP(B121,Indicateurs!$A:$B,2,0),"-",VLOOKUP(C121,Zones!$A:$B,2,0),"-",_xlfn.CONCAT(IF(K121&lt;&gt;"",VLOOKUP(K121,Desagregations!$A:$B,2,0),""),IF(L121&lt;&gt;"","_",""),IF(L121&lt;&gt;"",VLOOKUP(L121,Desagregations!$A:$B,2,0),""),IF(M121&lt;&gt;"","_",""),IF(M121&lt;&gt;"",VLOOKUP(M121,Desagregations!$A:$B,2,0),""),IF(N121&lt;&gt;"","_",""),IF(N121&lt;&gt;"",VLOOKUP(N121,Desagregations!$A:$B,2,0),""),IF(O121&lt;&gt;"","_",""),IF(O121&lt;&gt;"",VLOOKUP(O121,Desagregations!$A:$B,2,0),""),IF(P121&lt;&gt;"","_",""),IF(P121&lt;&gt;"",VLOOKUP(P121,Desagregations!$A:$B,2,0),"")),"-",VLOOKUP(D121,Unites!$A:$B,2,0),"-",VLOOKUP(E121,Sources!$A:$B,2,0),"-",VLOOKUP(F121,CommentaireValeurIndicateurs!$A:$B,2,0),"-",VLOOKUP(G121,NatureDonnees!$A:$B,2,0),"-",VLOOKUP(H121,Periodes!$A:$B,2,0))</f>
        <v>1294-1-6-4-33-3-1-27</v>
      </c>
      <c r="B121" s="2" t="s">
        <v>50</v>
      </c>
      <c r="C121" s="4" t="s">
        <v>136</v>
      </c>
      <c r="D121" t="s">
        <v>125</v>
      </c>
      <c r="E121" t="s">
        <v>107</v>
      </c>
      <c r="F121" s="4" t="s">
        <v>399</v>
      </c>
      <c r="G121" s="4" t="s">
        <v>400</v>
      </c>
      <c r="H121">
        <v>2026</v>
      </c>
      <c r="I121">
        <v>14.6</v>
      </c>
      <c r="K121" t="s">
        <v>77</v>
      </c>
    </row>
    <row r="122" spans="1:11" x14ac:dyDescent="0.25">
      <c r="A122" t="str">
        <f>_xlfn.CONCAT(VLOOKUP(B122,Indicateurs!$A:$B,2,0),"-",VLOOKUP(C122,Zones!$A:$B,2,0),"-",_xlfn.CONCAT(IF(K122&lt;&gt;"",VLOOKUP(K122,Desagregations!$A:$B,2,0),""),IF(L122&lt;&gt;"","_",""),IF(L122&lt;&gt;"",VLOOKUP(L122,Desagregations!$A:$B,2,0),""),IF(M122&lt;&gt;"","_",""),IF(M122&lt;&gt;"",VLOOKUP(M122,Desagregations!$A:$B,2,0),""),IF(N122&lt;&gt;"","_",""),IF(N122&lt;&gt;"",VLOOKUP(N122,Desagregations!$A:$B,2,0),""),IF(O122&lt;&gt;"","_",""),IF(O122&lt;&gt;"",VLOOKUP(O122,Desagregations!$A:$B,2,0),""),IF(P122&lt;&gt;"","_",""),IF(P122&lt;&gt;"",VLOOKUP(P122,Desagregations!$A:$B,2,0),"")),"-",VLOOKUP(D122,Unites!$A:$B,2,0),"-",VLOOKUP(E122,Sources!$A:$B,2,0),"-",VLOOKUP(F122,CommentaireValeurIndicateurs!$A:$B,2,0),"-",VLOOKUP(G122,NatureDonnees!$A:$B,2,0),"-",VLOOKUP(H122,Periodes!$A:$B,2,0))</f>
        <v>1295-1-6-4-33-3-1-27</v>
      </c>
      <c r="B122" s="2" t="s">
        <v>51</v>
      </c>
      <c r="C122" s="4" t="s">
        <v>136</v>
      </c>
      <c r="D122" t="s">
        <v>125</v>
      </c>
      <c r="E122" t="s">
        <v>107</v>
      </c>
      <c r="F122" s="4" t="s">
        <v>399</v>
      </c>
      <c r="G122" s="4" t="s">
        <v>400</v>
      </c>
      <c r="H122">
        <v>2026</v>
      </c>
      <c r="I122">
        <v>8.8000000000000007</v>
      </c>
      <c r="K122" t="s">
        <v>77</v>
      </c>
    </row>
    <row r="123" spans="1:11" x14ac:dyDescent="0.25">
      <c r="A123" t="str">
        <f>_xlfn.CONCAT(VLOOKUP(B123,Indicateurs!$A:$B,2,0),"-",VLOOKUP(C123,Zones!$A:$B,2,0),"-",_xlfn.CONCAT(IF(K123&lt;&gt;"",VLOOKUP(K123,Desagregations!$A:$B,2,0),""),IF(L123&lt;&gt;"","_",""),IF(L123&lt;&gt;"",VLOOKUP(L123,Desagregations!$A:$B,2,0),""),IF(M123&lt;&gt;"","_",""),IF(M123&lt;&gt;"",VLOOKUP(M123,Desagregations!$A:$B,2,0),""),IF(N123&lt;&gt;"","_",""),IF(N123&lt;&gt;"",VLOOKUP(N123,Desagregations!$A:$B,2,0),""),IF(O123&lt;&gt;"","_",""),IF(O123&lt;&gt;"",VLOOKUP(O123,Desagregations!$A:$B,2,0),""),IF(P123&lt;&gt;"","_",""),IF(P123&lt;&gt;"",VLOOKUP(P123,Desagregations!$A:$B,2,0),"")),"-",VLOOKUP(D123,Unites!$A:$B,2,0),"-",VLOOKUP(E123,Sources!$A:$B,2,0),"-",VLOOKUP(F123,CommentaireValeurIndicateurs!$A:$B,2,0),"-",VLOOKUP(G123,NatureDonnees!$A:$B,2,0),"-",VLOOKUP(H123,Periodes!$A:$B,2,0))</f>
        <v>1296-1-6-4-33-3-1-27</v>
      </c>
      <c r="B123" s="2" t="s">
        <v>52</v>
      </c>
      <c r="C123" s="4" t="s">
        <v>136</v>
      </c>
      <c r="D123" t="s">
        <v>125</v>
      </c>
      <c r="E123" t="s">
        <v>107</v>
      </c>
      <c r="F123" s="4" t="s">
        <v>399</v>
      </c>
      <c r="G123" s="4" t="s">
        <v>400</v>
      </c>
      <c r="H123">
        <v>2026</v>
      </c>
      <c r="I123">
        <v>15.66</v>
      </c>
      <c r="K123" t="s">
        <v>77</v>
      </c>
    </row>
    <row r="124" spans="1:11" x14ac:dyDescent="0.25">
      <c r="A124" t="str">
        <f>_xlfn.CONCAT(VLOOKUP(B124,Indicateurs!$A:$B,2,0),"-",VLOOKUP(C124,Zones!$A:$B,2,0),"-",_xlfn.CONCAT(IF(K124&lt;&gt;"",VLOOKUP(K124,Desagregations!$A:$B,2,0),""),IF(L124&lt;&gt;"","_",""),IF(L124&lt;&gt;"",VLOOKUP(L124,Desagregations!$A:$B,2,0),""),IF(M124&lt;&gt;"","_",""),IF(M124&lt;&gt;"",VLOOKUP(M124,Desagregations!$A:$B,2,0),""),IF(N124&lt;&gt;"","_",""),IF(N124&lt;&gt;"",VLOOKUP(N124,Desagregations!$A:$B,2,0),""),IF(O124&lt;&gt;"","_",""),IF(O124&lt;&gt;"",VLOOKUP(O124,Desagregations!$A:$B,2,0),""),IF(P124&lt;&gt;"","_",""),IF(P124&lt;&gt;"",VLOOKUP(P124,Desagregations!$A:$B,2,0),"")),"-",VLOOKUP(D124,Unites!$A:$B,2,0),"-",VLOOKUP(E124,Sources!$A:$B,2,0),"-",VLOOKUP(F124,CommentaireValeurIndicateurs!$A:$B,2,0),"-",VLOOKUP(G124,NatureDonnees!$A:$B,2,0),"-",VLOOKUP(H124,Periodes!$A:$B,2,0))</f>
        <v>1297-1-6-5-34-3-1-27</v>
      </c>
      <c r="B124" s="2" t="s">
        <v>53</v>
      </c>
      <c r="C124" s="4" t="s">
        <v>136</v>
      </c>
      <c r="D124" t="s">
        <v>126</v>
      </c>
      <c r="E124" t="s">
        <v>108</v>
      </c>
      <c r="F124" s="4" t="s">
        <v>399</v>
      </c>
      <c r="G124" s="4" t="s">
        <v>400</v>
      </c>
      <c r="H124">
        <v>2026</v>
      </c>
      <c r="I124">
        <v>3.02</v>
      </c>
      <c r="K124" t="s">
        <v>77</v>
      </c>
    </row>
    <row r="125" spans="1:11" x14ac:dyDescent="0.25">
      <c r="A125" t="str">
        <f>_xlfn.CONCAT(VLOOKUP(B125,Indicateurs!$A:$B,2,0),"-",VLOOKUP(C125,Zones!$A:$B,2,0),"-",_xlfn.CONCAT(IF(K125&lt;&gt;"",VLOOKUP(K125,Desagregations!$A:$B,2,0),""),IF(L125&lt;&gt;"","_",""),IF(L125&lt;&gt;"",VLOOKUP(L125,Desagregations!$A:$B,2,0),""),IF(M125&lt;&gt;"","_",""),IF(M125&lt;&gt;"",VLOOKUP(M125,Desagregations!$A:$B,2,0),""),IF(N125&lt;&gt;"","_",""),IF(N125&lt;&gt;"",VLOOKUP(N125,Desagregations!$A:$B,2,0),""),IF(O125&lt;&gt;"","_",""),IF(O125&lt;&gt;"",VLOOKUP(O125,Desagregations!$A:$B,2,0),""),IF(P125&lt;&gt;"","_",""),IF(P125&lt;&gt;"",VLOOKUP(P125,Desagregations!$A:$B,2,0),"")),"-",VLOOKUP(D125,Unites!$A:$B,2,0),"-",VLOOKUP(E125,Sources!$A:$B,2,0),"-",VLOOKUP(F125,CommentaireValeurIndicateurs!$A:$B,2,0),"-",VLOOKUP(G125,NatureDonnees!$A:$B,2,0),"-",VLOOKUP(H125,Periodes!$A:$B,2,0))</f>
        <v>1298-1-6-13-35-3-1-27</v>
      </c>
      <c r="B125" s="2" t="s">
        <v>54</v>
      </c>
      <c r="C125" s="4" t="s">
        <v>136</v>
      </c>
      <c r="D125" t="s">
        <v>134</v>
      </c>
      <c r="E125" t="s">
        <v>109</v>
      </c>
      <c r="F125" s="4" t="s">
        <v>399</v>
      </c>
      <c r="G125" s="4" t="s">
        <v>400</v>
      </c>
      <c r="H125">
        <v>2026</v>
      </c>
      <c r="I125">
        <v>59.5</v>
      </c>
      <c r="K125" t="s">
        <v>77</v>
      </c>
    </row>
    <row r="126" spans="1:11" x14ac:dyDescent="0.25">
      <c r="A126" t="str">
        <f>_xlfn.CONCAT(VLOOKUP(B126,Indicateurs!$A:$B,2,0),"-",VLOOKUP(C126,Zones!$A:$B,2,0),"-",_xlfn.CONCAT(IF(K126&lt;&gt;"",VLOOKUP(K126,Desagregations!$A:$B,2,0),""),IF(L126&lt;&gt;"","_",""),IF(L126&lt;&gt;"",VLOOKUP(L126,Desagregations!$A:$B,2,0),""),IF(M126&lt;&gt;"","_",""),IF(M126&lt;&gt;"",VLOOKUP(M126,Desagregations!$A:$B,2,0),""),IF(N126&lt;&gt;"","_",""),IF(N126&lt;&gt;"",VLOOKUP(N126,Desagregations!$A:$B,2,0),""),IF(O126&lt;&gt;"","_",""),IF(O126&lt;&gt;"",VLOOKUP(O126,Desagregations!$A:$B,2,0),""),IF(P126&lt;&gt;"","_",""),IF(P126&lt;&gt;"",VLOOKUP(P126,Desagregations!$A:$B,2,0),"")),"-",VLOOKUP(D126,Unites!$A:$B,2,0),"-",VLOOKUP(E126,Sources!$A:$B,2,0),"-",VLOOKUP(F126,CommentaireValeurIndicateurs!$A:$B,2,0),"-",VLOOKUP(G126,NatureDonnees!$A:$B,2,0),"-",VLOOKUP(H126,Periodes!$A:$B,2,0))</f>
        <v>1299-1-6-8-36-3-1-27</v>
      </c>
      <c r="B126" s="2" t="s">
        <v>55</v>
      </c>
      <c r="C126" s="4" t="s">
        <v>136</v>
      </c>
      <c r="D126" t="s">
        <v>129</v>
      </c>
      <c r="E126" t="s">
        <v>110</v>
      </c>
      <c r="F126" s="4" t="s">
        <v>399</v>
      </c>
      <c r="G126" s="4" t="s">
        <v>400</v>
      </c>
      <c r="H126">
        <v>2026</v>
      </c>
      <c r="I126">
        <v>2.02</v>
      </c>
      <c r="K126" t="s">
        <v>77</v>
      </c>
    </row>
    <row r="127" spans="1:11" x14ac:dyDescent="0.25">
      <c r="A127" t="str">
        <f>_xlfn.CONCAT(VLOOKUP(B127,Indicateurs!$A:$B,2,0),"-",VLOOKUP(C127,Zones!$A:$B,2,0),"-",_xlfn.CONCAT(IF(K127&lt;&gt;"",VLOOKUP(K127,Desagregations!$A:$B,2,0),""),IF(L127&lt;&gt;"","_",""),IF(L127&lt;&gt;"",VLOOKUP(L127,Desagregations!$A:$B,2,0),""),IF(M127&lt;&gt;"","_",""),IF(M127&lt;&gt;"",VLOOKUP(M127,Desagregations!$A:$B,2,0),""),IF(N127&lt;&gt;"","_",""),IF(N127&lt;&gt;"",VLOOKUP(N127,Desagregations!$A:$B,2,0),""),IF(O127&lt;&gt;"","_",""),IF(O127&lt;&gt;"",VLOOKUP(O127,Desagregations!$A:$B,2,0),""),IF(P127&lt;&gt;"","_",""),IF(P127&lt;&gt;"",VLOOKUP(P127,Desagregations!$A:$B,2,0),"")),"-",VLOOKUP(D127,Unites!$A:$B,2,0),"-",VLOOKUP(E127,Sources!$A:$B,2,0),"-",VLOOKUP(F127,CommentaireValeurIndicateurs!$A:$B,2,0),"-",VLOOKUP(G127,NatureDonnees!$A:$B,2,0),"-",VLOOKUP(H127,Periodes!$A:$B,2,0))</f>
        <v>1300-1-6-4-25-3-1-27</v>
      </c>
      <c r="B127" s="2" t="s">
        <v>56</v>
      </c>
      <c r="C127" s="4" t="s">
        <v>136</v>
      </c>
      <c r="D127" t="s">
        <v>125</v>
      </c>
      <c r="E127" t="s">
        <v>99</v>
      </c>
      <c r="F127" s="4" t="s">
        <v>399</v>
      </c>
      <c r="G127" s="4" t="s">
        <v>400</v>
      </c>
      <c r="H127">
        <v>2026</v>
      </c>
      <c r="I127">
        <v>40</v>
      </c>
      <c r="K127" t="s">
        <v>77</v>
      </c>
    </row>
    <row r="128" spans="1:11" x14ac:dyDescent="0.25">
      <c r="A128" t="e">
        <f>_xlfn.CONCAT(VLOOKUP(B128,Indicateurs!$A:$B,2,0),"-",VLOOKUP(C128,Zones!$A:$B,2,0),"-",_xlfn.CONCAT(IF(K128&lt;&gt;"",VLOOKUP(K128,Desagregations!$A:$B,2,0),""),IF(L128&lt;&gt;"","_",""),IF(L128&lt;&gt;"",VLOOKUP(L128,Desagregations!$A:$B,2,0),""),IF(M128&lt;&gt;"","_",""),IF(M128&lt;&gt;"",VLOOKUP(M128,Desagregations!$A:$B,2,0),""),IF(N128&lt;&gt;"","_",""),IF(N128&lt;&gt;"",VLOOKUP(N128,Desagregations!$A:$B,2,0),""),IF(O128&lt;&gt;"","_",""),IF(O128&lt;&gt;"",VLOOKUP(O128,Desagregations!$A:$B,2,0),""),IF(P128&lt;&gt;"","_",""),IF(P128&lt;&gt;"",VLOOKUP(P128,Desagregations!$A:$B,2,0),"")),"-",VLOOKUP(D128,Unites!$A:$B,2,0),"-",VLOOKUP(E128,Sources!$A:$B,2,0),"-",VLOOKUP(F128,CommentaireValeurIndicateurs!$A:$B,2,0),"-",VLOOKUP(G128,NatureDonnees!$A:$B,2,0),"-",VLOOKUP(H128,Periodes!$A:$B,2,0))</f>
        <v>#N/A</v>
      </c>
      <c r="B128" s="5" t="s">
        <v>57</v>
      </c>
      <c r="C128" s="4" t="s">
        <v>136</v>
      </c>
      <c r="D128" t="s">
        <v>125</v>
      </c>
      <c r="E128" t="s">
        <v>112</v>
      </c>
      <c r="F128" s="4" t="s">
        <v>399</v>
      </c>
      <c r="G128" s="4" t="s">
        <v>400</v>
      </c>
      <c r="K128" t="s">
        <v>77</v>
      </c>
    </row>
    <row r="129" spans="1:11" x14ac:dyDescent="0.25">
      <c r="A129" t="e">
        <f>_xlfn.CONCAT(VLOOKUP(B129,Indicateurs!$A:$B,2,0),"-",VLOOKUP(C129,Zones!$A:$B,2,0),"-",_xlfn.CONCAT(IF(K129&lt;&gt;"",VLOOKUP(K129,Desagregations!$A:$B,2,0),""),IF(L129&lt;&gt;"","_",""),IF(L129&lt;&gt;"",VLOOKUP(L129,Desagregations!$A:$B,2,0),""),IF(M129&lt;&gt;"","_",""),IF(M129&lt;&gt;"",VLOOKUP(M129,Desagregations!$A:$B,2,0),""),IF(N129&lt;&gt;"","_",""),IF(N129&lt;&gt;"",VLOOKUP(N129,Desagregations!$A:$B,2,0),""),IF(O129&lt;&gt;"","_",""),IF(O129&lt;&gt;"",VLOOKUP(O129,Desagregations!$A:$B,2,0),""),IF(P129&lt;&gt;"","_",""),IF(P129&lt;&gt;"",VLOOKUP(P129,Desagregations!$A:$B,2,0),"")),"-",VLOOKUP(D129,Unites!$A:$B,2,0),"-",VLOOKUP(E129,Sources!$A:$B,2,0),"-",VLOOKUP(F129,CommentaireValeurIndicateurs!$A:$B,2,0),"-",VLOOKUP(G129,NatureDonnees!$A:$B,2,0),"-",VLOOKUP(H129,Periodes!$A:$B,2,0))</f>
        <v>#N/A</v>
      </c>
      <c r="B129" s="5" t="s">
        <v>58</v>
      </c>
      <c r="C129" s="4" t="s">
        <v>136</v>
      </c>
      <c r="D129" t="s">
        <v>125</v>
      </c>
      <c r="E129" t="s">
        <v>113</v>
      </c>
      <c r="F129" s="4" t="s">
        <v>399</v>
      </c>
      <c r="G129" s="4" t="s">
        <v>400</v>
      </c>
      <c r="K129" t="s">
        <v>77</v>
      </c>
    </row>
    <row r="130" spans="1:11" x14ac:dyDescent="0.25">
      <c r="A130" t="str">
        <f>_xlfn.CONCAT(VLOOKUP(B130,Indicateurs!$A:$B,2,0),"-",VLOOKUP(C130,Zones!$A:$B,2,0),"-",_xlfn.CONCAT(IF(K130&lt;&gt;"",VLOOKUP(K130,Desagregations!$A:$B,2,0),""),IF(L130&lt;&gt;"","_",""),IF(L130&lt;&gt;"",VLOOKUP(L130,Desagregations!$A:$B,2,0),""),IF(M130&lt;&gt;"","_",""),IF(M130&lt;&gt;"",VLOOKUP(M130,Desagregations!$A:$B,2,0),""),IF(N130&lt;&gt;"","_",""),IF(N130&lt;&gt;"",VLOOKUP(N130,Desagregations!$A:$B,2,0),""),IF(O130&lt;&gt;"","_",""),IF(O130&lt;&gt;"",VLOOKUP(O130,Desagregations!$A:$B,2,0),""),IF(P130&lt;&gt;"","_",""),IF(P130&lt;&gt;"",VLOOKUP(P130,Desagregations!$A:$B,2,0),"")),"-",VLOOKUP(D130,Unites!$A:$B,2,0),"-",VLOOKUP(E130,Sources!$A:$B,2,0),"-",VLOOKUP(F130,CommentaireValeurIndicateurs!$A:$B,2,0),"-",VLOOKUP(G130,NatureDonnees!$A:$B,2,0),"-",VLOOKUP(H130,Periodes!$A:$B,2,0))</f>
        <v>1303-1-6-4-40-3-1-27</v>
      </c>
      <c r="B130" s="2" t="s">
        <v>59</v>
      </c>
      <c r="C130" s="4" t="s">
        <v>136</v>
      </c>
      <c r="D130" t="s">
        <v>125</v>
      </c>
      <c r="E130" t="s">
        <v>114</v>
      </c>
      <c r="F130" s="4" t="s">
        <v>399</v>
      </c>
      <c r="G130" s="4" t="s">
        <v>400</v>
      </c>
      <c r="H130">
        <v>2026</v>
      </c>
      <c r="I130">
        <v>63.56</v>
      </c>
      <c r="K130" t="s">
        <v>77</v>
      </c>
    </row>
    <row r="131" spans="1:11" x14ac:dyDescent="0.25">
      <c r="A131" t="str">
        <f>_xlfn.CONCAT(VLOOKUP(B131,Indicateurs!$A:$B,2,0),"-",VLOOKUP(C131,Zones!$A:$B,2,0),"-",_xlfn.CONCAT(IF(K131&lt;&gt;"",VLOOKUP(K131,Desagregations!$A:$B,2,0),""),IF(L131&lt;&gt;"","_",""),IF(L131&lt;&gt;"",VLOOKUP(L131,Desagregations!$A:$B,2,0),""),IF(M131&lt;&gt;"","_",""),IF(M131&lt;&gt;"",VLOOKUP(M131,Desagregations!$A:$B,2,0),""),IF(N131&lt;&gt;"","_",""),IF(N131&lt;&gt;"",VLOOKUP(N131,Desagregations!$A:$B,2,0),""),IF(O131&lt;&gt;"","_",""),IF(O131&lt;&gt;"",VLOOKUP(O131,Desagregations!$A:$B,2,0),""),IF(P131&lt;&gt;"","_",""),IF(P131&lt;&gt;"",VLOOKUP(P131,Desagregations!$A:$B,2,0),"")),"-",VLOOKUP(D131,Unites!$A:$B,2,0),"-",VLOOKUP(E131,Sources!$A:$B,2,0),"-",VLOOKUP(F131,CommentaireValeurIndicateurs!$A:$B,2,0),"-",VLOOKUP(G131,NatureDonnees!$A:$B,2,0),"-",VLOOKUP(H131,Periodes!$A:$B,2,0))</f>
        <v>1304-1-6-4-41-3-1-27</v>
      </c>
      <c r="B131" s="2" t="s">
        <v>60</v>
      </c>
      <c r="C131" s="4" t="s">
        <v>136</v>
      </c>
      <c r="D131" t="s">
        <v>125</v>
      </c>
      <c r="E131" t="s">
        <v>115</v>
      </c>
      <c r="F131" s="4" t="s">
        <v>399</v>
      </c>
      <c r="G131" s="4" t="s">
        <v>400</v>
      </c>
      <c r="H131">
        <v>2026</v>
      </c>
      <c r="I131">
        <v>57.64</v>
      </c>
      <c r="K131" t="s">
        <v>77</v>
      </c>
    </row>
    <row r="132" spans="1:11" x14ac:dyDescent="0.25">
      <c r="A132" t="str">
        <f>_xlfn.CONCAT(VLOOKUP(B132,Indicateurs!$A:$B,2,0),"-",VLOOKUP(C132,Zones!$A:$B,2,0),"-",_xlfn.CONCAT(IF(K132&lt;&gt;"",VLOOKUP(K132,Desagregations!$A:$B,2,0),""),IF(L132&lt;&gt;"","_",""),IF(L132&lt;&gt;"",VLOOKUP(L132,Desagregations!$A:$B,2,0),""),IF(M132&lt;&gt;"","_",""),IF(M132&lt;&gt;"",VLOOKUP(M132,Desagregations!$A:$B,2,0),""),IF(N132&lt;&gt;"","_",""),IF(N132&lt;&gt;"",VLOOKUP(N132,Desagregations!$A:$B,2,0),""),IF(O132&lt;&gt;"","_",""),IF(O132&lt;&gt;"",VLOOKUP(O132,Desagregations!$A:$B,2,0),""),IF(P132&lt;&gt;"","_",""),IF(P132&lt;&gt;"",VLOOKUP(P132,Desagregations!$A:$B,2,0),"")),"-",VLOOKUP(D132,Unites!$A:$B,2,0),"-",VLOOKUP(E132,Sources!$A:$B,2,0),"-",VLOOKUP(F132,CommentaireValeurIndicateurs!$A:$B,2,0),"-",VLOOKUP(G132,NatureDonnees!$A:$B,2,0),"-",VLOOKUP(H132,Periodes!$A:$B,2,0))</f>
        <v>1305-1-6-4-42-3-1-27</v>
      </c>
      <c r="B132" s="2" t="s">
        <v>61</v>
      </c>
      <c r="C132" s="4" t="s">
        <v>136</v>
      </c>
      <c r="D132" t="s">
        <v>125</v>
      </c>
      <c r="E132" t="s">
        <v>116</v>
      </c>
      <c r="F132" s="4" t="s">
        <v>399</v>
      </c>
      <c r="G132" s="4" t="s">
        <v>400</v>
      </c>
      <c r="H132">
        <v>2026</v>
      </c>
      <c r="I132">
        <v>45</v>
      </c>
      <c r="K132" t="s">
        <v>77</v>
      </c>
    </row>
    <row r="133" spans="1:11" x14ac:dyDescent="0.25">
      <c r="A133" t="str">
        <f>_xlfn.CONCAT(VLOOKUP(B133,Indicateurs!$A:$B,2,0),"-",VLOOKUP(C133,Zones!$A:$B,2,0),"-",_xlfn.CONCAT(IF(K133&lt;&gt;"",VLOOKUP(K133,Desagregations!$A:$B,2,0),""),IF(L133&lt;&gt;"","_",""),IF(L133&lt;&gt;"",VLOOKUP(L133,Desagregations!$A:$B,2,0),""),IF(M133&lt;&gt;"","_",""),IF(M133&lt;&gt;"",VLOOKUP(M133,Desagregations!$A:$B,2,0),""),IF(N133&lt;&gt;"","_",""),IF(N133&lt;&gt;"",VLOOKUP(N133,Desagregations!$A:$B,2,0),""),IF(O133&lt;&gt;"","_",""),IF(O133&lt;&gt;"",VLOOKUP(O133,Desagregations!$A:$B,2,0),""),IF(P133&lt;&gt;"","_",""),IF(P133&lt;&gt;"",VLOOKUP(P133,Desagregations!$A:$B,2,0),"")),"-",VLOOKUP(D133,Unites!$A:$B,2,0),"-",VLOOKUP(E133,Sources!$A:$B,2,0),"-",VLOOKUP(F133,CommentaireValeurIndicateurs!$A:$B,2,0),"-",VLOOKUP(G133,NatureDonnees!$A:$B,2,0),"-",VLOOKUP(H133,Periodes!$A:$B,2,0))</f>
        <v>1306-1-6-4-43-3-1-27</v>
      </c>
      <c r="B133" s="2" t="s">
        <v>62</v>
      </c>
      <c r="C133" s="4" t="s">
        <v>136</v>
      </c>
      <c r="D133" t="s">
        <v>125</v>
      </c>
      <c r="E133" t="s">
        <v>117</v>
      </c>
      <c r="F133" s="4" t="s">
        <v>399</v>
      </c>
      <c r="G133" s="4" t="s">
        <v>400</v>
      </c>
      <c r="H133">
        <v>2026</v>
      </c>
      <c r="I133">
        <v>7.7</v>
      </c>
      <c r="K133" t="s">
        <v>77</v>
      </c>
    </row>
    <row r="134" spans="1:11" x14ac:dyDescent="0.25">
      <c r="A134" t="str">
        <f>_xlfn.CONCAT(VLOOKUP(B134,Indicateurs!$A:$B,2,0),"-",VLOOKUP(C134,Zones!$A:$B,2,0),"-",_xlfn.CONCAT(IF(K134&lt;&gt;"",VLOOKUP(K134,Desagregations!$A:$B,2,0),""),IF(L134&lt;&gt;"","_",""),IF(L134&lt;&gt;"",VLOOKUP(L134,Desagregations!$A:$B,2,0),""),IF(M134&lt;&gt;"","_",""),IF(M134&lt;&gt;"",VLOOKUP(M134,Desagregations!$A:$B,2,0),""),IF(N134&lt;&gt;"","_",""),IF(N134&lt;&gt;"",VLOOKUP(N134,Desagregations!$A:$B,2,0),""),IF(O134&lt;&gt;"","_",""),IF(O134&lt;&gt;"",VLOOKUP(O134,Desagregations!$A:$B,2,0),""),IF(P134&lt;&gt;"","_",""),IF(P134&lt;&gt;"",VLOOKUP(P134,Desagregations!$A:$B,2,0),"")),"-",VLOOKUP(D134,Unites!$A:$B,2,0),"-",VLOOKUP(E134,Sources!$A:$B,2,0),"-",VLOOKUP(F134,CommentaireValeurIndicateurs!$A:$B,2,0),"-",VLOOKUP(G134,NatureDonnees!$A:$B,2,0),"-",VLOOKUP(H134,Periodes!$A:$B,2,0))</f>
        <v>1307-1-6-4-44-3-1-27</v>
      </c>
      <c r="B134" s="2" t="s">
        <v>63</v>
      </c>
      <c r="C134" s="4" t="s">
        <v>136</v>
      </c>
      <c r="D134" t="s">
        <v>125</v>
      </c>
      <c r="E134" t="s">
        <v>118</v>
      </c>
      <c r="F134" s="4" t="s">
        <v>399</v>
      </c>
      <c r="G134" s="4" t="s">
        <v>400</v>
      </c>
      <c r="H134">
        <v>2026</v>
      </c>
      <c r="I134">
        <v>55</v>
      </c>
      <c r="K134" t="s">
        <v>77</v>
      </c>
    </row>
    <row r="135" spans="1:11" x14ac:dyDescent="0.25">
      <c r="A135" t="str">
        <f>_xlfn.CONCAT(VLOOKUP(B135,Indicateurs!$A:$B,2,0),"-",VLOOKUP(C135,Zones!$A:$B,2,0),"-",_xlfn.CONCAT(IF(K135&lt;&gt;"",VLOOKUP(K135,Desagregations!$A:$B,2,0),""),IF(L135&lt;&gt;"","_",""),IF(L135&lt;&gt;"",VLOOKUP(L135,Desagregations!$A:$B,2,0),""),IF(M135&lt;&gt;"","_",""),IF(M135&lt;&gt;"",VLOOKUP(M135,Desagregations!$A:$B,2,0),""),IF(N135&lt;&gt;"","_",""),IF(N135&lt;&gt;"",VLOOKUP(N135,Desagregations!$A:$B,2,0),""),IF(O135&lt;&gt;"","_",""),IF(O135&lt;&gt;"",VLOOKUP(O135,Desagregations!$A:$B,2,0),""),IF(P135&lt;&gt;"","_",""),IF(P135&lt;&gt;"",VLOOKUP(P135,Desagregations!$A:$B,2,0),"")),"-",VLOOKUP(D135,Unites!$A:$B,2,0),"-",VLOOKUP(E135,Sources!$A:$B,2,0),"-",VLOOKUP(F135,CommentaireValeurIndicateurs!$A:$B,2,0),"-",VLOOKUP(G135,NatureDonnees!$A:$B,2,0),"-",VLOOKUP(H135,Periodes!$A:$B,2,0))</f>
        <v>1308-1-6-4-4-3-1-27</v>
      </c>
      <c r="B135" s="2" t="s">
        <v>64</v>
      </c>
      <c r="C135" s="4" t="s">
        <v>136</v>
      </c>
      <c r="D135" t="s">
        <v>125</v>
      </c>
      <c r="E135" t="s">
        <v>78</v>
      </c>
      <c r="F135" s="4" t="s">
        <v>399</v>
      </c>
      <c r="G135" s="4" t="s">
        <v>400</v>
      </c>
      <c r="H135">
        <v>2026</v>
      </c>
      <c r="I135">
        <v>71.599999999999994</v>
      </c>
      <c r="K135" t="s">
        <v>77</v>
      </c>
    </row>
    <row r="136" spans="1:11" x14ac:dyDescent="0.25">
      <c r="A136" t="str">
        <f>_xlfn.CONCAT(VLOOKUP(B136,Indicateurs!$A:$B,2,0),"-",VLOOKUP(C136,Zones!$A:$B,2,0),"-",_xlfn.CONCAT(IF(K136&lt;&gt;"",VLOOKUP(K136,Desagregations!$A:$B,2,0),""),IF(L136&lt;&gt;"","_",""),IF(L136&lt;&gt;"",VLOOKUP(L136,Desagregations!$A:$B,2,0),""),IF(M136&lt;&gt;"","_",""),IF(M136&lt;&gt;"",VLOOKUP(M136,Desagregations!$A:$B,2,0),""),IF(N136&lt;&gt;"","_",""),IF(N136&lt;&gt;"",VLOOKUP(N136,Desagregations!$A:$B,2,0),""),IF(O136&lt;&gt;"","_",""),IF(O136&lt;&gt;"",VLOOKUP(O136,Desagregations!$A:$B,2,0),""),IF(P136&lt;&gt;"","_",""),IF(P136&lt;&gt;"",VLOOKUP(P136,Desagregations!$A:$B,2,0),"")),"-",VLOOKUP(D136,Unites!$A:$B,2,0),"-",VLOOKUP(E136,Sources!$A:$B,2,0),"-",VLOOKUP(F136,CommentaireValeurIndicateurs!$A:$B,2,0),"-",VLOOKUP(G136,NatureDonnees!$A:$B,2,0),"-",VLOOKUP(H136,Periodes!$A:$B,2,0))</f>
        <v>1309-1-6-4-45-3-1-27</v>
      </c>
      <c r="B136" s="2" t="s">
        <v>65</v>
      </c>
      <c r="C136" s="4" t="s">
        <v>136</v>
      </c>
      <c r="D136" t="s">
        <v>125</v>
      </c>
      <c r="E136" t="s">
        <v>119</v>
      </c>
      <c r="F136" s="4" t="s">
        <v>399</v>
      </c>
      <c r="G136" s="4" t="s">
        <v>400</v>
      </c>
      <c r="H136">
        <v>2026</v>
      </c>
      <c r="I136">
        <v>25</v>
      </c>
      <c r="K136" t="s">
        <v>77</v>
      </c>
    </row>
    <row r="137" spans="1:11" x14ac:dyDescent="0.25">
      <c r="A137" t="str">
        <f>_xlfn.CONCAT(VLOOKUP(B137,Indicateurs!$A:$B,2,0),"-",VLOOKUP(C137,Zones!$A:$B,2,0),"-",_xlfn.CONCAT(IF(K137&lt;&gt;"",VLOOKUP(K137,Desagregations!$A:$B,2,0),""),IF(L137&lt;&gt;"","_",""),IF(L137&lt;&gt;"",VLOOKUP(L137,Desagregations!$A:$B,2,0),""),IF(M137&lt;&gt;"","_",""),IF(M137&lt;&gt;"",VLOOKUP(M137,Desagregations!$A:$B,2,0),""),IF(N137&lt;&gt;"","_",""),IF(N137&lt;&gt;"",VLOOKUP(N137,Desagregations!$A:$B,2,0),""),IF(O137&lt;&gt;"","_",""),IF(O137&lt;&gt;"",VLOOKUP(O137,Desagregations!$A:$B,2,0),""),IF(P137&lt;&gt;"","_",""),IF(P137&lt;&gt;"",VLOOKUP(P137,Desagregations!$A:$B,2,0),"")),"-",VLOOKUP(D137,Unites!$A:$B,2,0),"-",VLOOKUP(E137,Sources!$A:$B,2,0),"-",VLOOKUP(F137,CommentaireValeurIndicateurs!$A:$B,2,0),"-",VLOOKUP(G137,NatureDonnees!$A:$B,2,0),"-",VLOOKUP(H137,Periodes!$A:$B,2,0))</f>
        <v>1310-1-6-4-4-3-1-27</v>
      </c>
      <c r="B137" s="2" t="s">
        <v>66</v>
      </c>
      <c r="C137" s="4" t="s">
        <v>136</v>
      </c>
      <c r="D137" t="s">
        <v>125</v>
      </c>
      <c r="E137" t="s">
        <v>78</v>
      </c>
      <c r="F137" s="4" t="s">
        <v>399</v>
      </c>
      <c r="G137" s="4" t="s">
        <v>400</v>
      </c>
      <c r="H137">
        <v>2026</v>
      </c>
      <c r="I137">
        <v>9</v>
      </c>
      <c r="K137" t="s">
        <v>77</v>
      </c>
    </row>
    <row r="138" spans="1:11" x14ac:dyDescent="0.25">
      <c r="A138" t="str">
        <f>_xlfn.CONCAT(VLOOKUP(B138,Indicateurs!$A:$B,2,0),"-",VLOOKUP(C138,Zones!$A:$B,2,0),"-",_xlfn.CONCAT(IF(K138&lt;&gt;"",VLOOKUP(K138,Desagregations!$A:$B,2,0),""),IF(L138&lt;&gt;"","_",""),IF(L138&lt;&gt;"",VLOOKUP(L138,Desagregations!$A:$B,2,0),""),IF(M138&lt;&gt;"","_",""),IF(M138&lt;&gt;"",VLOOKUP(M138,Desagregations!$A:$B,2,0),""),IF(N138&lt;&gt;"","_",""),IF(N138&lt;&gt;"",VLOOKUP(N138,Desagregations!$A:$B,2,0),""),IF(O138&lt;&gt;"","_",""),IF(O138&lt;&gt;"",VLOOKUP(O138,Desagregations!$A:$B,2,0),""),IF(P138&lt;&gt;"","_",""),IF(P138&lt;&gt;"",VLOOKUP(P138,Desagregations!$A:$B,2,0),"")),"-",VLOOKUP(D138,Unites!$A:$B,2,0),"-",VLOOKUP(E138,Sources!$A:$B,2,0),"-",VLOOKUP(F138,CommentaireValeurIndicateurs!$A:$B,2,0),"-",VLOOKUP(G138,NatureDonnees!$A:$B,2,0),"-",VLOOKUP(H138,Periodes!$A:$B,2,0))</f>
        <v>1311-1-6-4-46-3-1-27</v>
      </c>
      <c r="B138" s="2" t="s">
        <v>67</v>
      </c>
      <c r="C138" s="4" t="s">
        <v>136</v>
      </c>
      <c r="D138" t="s">
        <v>125</v>
      </c>
      <c r="E138" t="s">
        <v>120</v>
      </c>
      <c r="F138" s="4" t="s">
        <v>399</v>
      </c>
      <c r="G138" s="4" t="s">
        <v>400</v>
      </c>
      <c r="H138">
        <v>2026</v>
      </c>
      <c r="I138">
        <v>95</v>
      </c>
      <c r="K138" t="s">
        <v>77</v>
      </c>
    </row>
    <row r="139" spans="1:11" x14ac:dyDescent="0.25">
      <c r="A139" t="str">
        <f>_xlfn.CONCAT(VLOOKUP(B139,Indicateurs!$A:$B,2,0),"-",VLOOKUP(C139,Zones!$A:$B,2,0),"-",_xlfn.CONCAT(IF(K139&lt;&gt;"",VLOOKUP(K139,Desagregations!$A:$B,2,0),""),IF(L139&lt;&gt;"","_",""),IF(L139&lt;&gt;"",VLOOKUP(L139,Desagregations!$A:$B,2,0),""),IF(M139&lt;&gt;"","_",""),IF(M139&lt;&gt;"",VLOOKUP(M139,Desagregations!$A:$B,2,0),""),IF(N139&lt;&gt;"","_",""),IF(N139&lt;&gt;"",VLOOKUP(N139,Desagregations!$A:$B,2,0),""),IF(O139&lt;&gt;"","_",""),IF(O139&lt;&gt;"",VLOOKUP(O139,Desagregations!$A:$B,2,0),""),IF(P139&lt;&gt;"","_",""),IF(P139&lt;&gt;"",VLOOKUP(P139,Desagregations!$A:$B,2,0),"")),"-",VLOOKUP(D139,Unites!$A:$B,2,0),"-",VLOOKUP(E139,Sources!$A:$B,2,0),"-",VLOOKUP(F139,CommentaireValeurIndicateurs!$A:$B,2,0),"-",VLOOKUP(G139,NatureDonnees!$A:$B,2,0),"-",VLOOKUP(H139,Periodes!$A:$B,2,0))</f>
        <v>1312-1-6-4-46-3-1-27</v>
      </c>
      <c r="B139" s="2" t="s">
        <v>68</v>
      </c>
      <c r="C139" s="4" t="s">
        <v>136</v>
      </c>
      <c r="D139" t="s">
        <v>125</v>
      </c>
      <c r="E139" t="s">
        <v>120</v>
      </c>
      <c r="F139" s="4" t="s">
        <v>399</v>
      </c>
      <c r="G139" s="4" t="s">
        <v>400</v>
      </c>
      <c r="H139">
        <v>2026</v>
      </c>
      <c r="I139">
        <v>58.02</v>
      </c>
      <c r="K139" t="s">
        <v>77</v>
      </c>
    </row>
    <row r="140" spans="1:11" x14ac:dyDescent="0.25">
      <c r="A140" t="str">
        <f>_xlfn.CONCAT(VLOOKUP(B140,Indicateurs!$A:$B,2,0),"-",VLOOKUP(C140,Zones!$A:$B,2,0),"-",_xlfn.CONCAT(IF(K140&lt;&gt;"",VLOOKUP(K140,Desagregations!$A:$B,2,0),""),IF(L140&lt;&gt;"","_",""),IF(L140&lt;&gt;"",VLOOKUP(L140,Desagregations!$A:$B,2,0),""),IF(M140&lt;&gt;"","_",""),IF(M140&lt;&gt;"",VLOOKUP(M140,Desagregations!$A:$B,2,0),""),IF(N140&lt;&gt;"","_",""),IF(N140&lt;&gt;"",VLOOKUP(N140,Desagregations!$A:$B,2,0),""),IF(O140&lt;&gt;"","_",""),IF(O140&lt;&gt;"",VLOOKUP(O140,Desagregations!$A:$B,2,0),""),IF(P140&lt;&gt;"","_",""),IF(P140&lt;&gt;"",VLOOKUP(P140,Desagregations!$A:$B,2,0),"")),"-",VLOOKUP(D140,Unites!$A:$B,2,0),"-",VLOOKUP(E140,Sources!$A:$B,2,0),"-",VLOOKUP(F140,CommentaireValeurIndicateurs!$A:$B,2,0),"-",VLOOKUP(G140,NatureDonnees!$A:$B,2,0),"-",VLOOKUP(H140,Periodes!$A:$B,2,0))</f>
        <v>1313-1-6-4-47-3-1-27</v>
      </c>
      <c r="B140" s="2" t="s">
        <v>69</v>
      </c>
      <c r="C140" s="4" t="s">
        <v>136</v>
      </c>
      <c r="D140" t="s">
        <v>125</v>
      </c>
      <c r="E140" t="s">
        <v>121</v>
      </c>
      <c r="F140" s="4" t="s">
        <v>399</v>
      </c>
      <c r="G140" s="4" t="s">
        <v>400</v>
      </c>
      <c r="H140">
        <v>2026</v>
      </c>
      <c r="I140">
        <v>20</v>
      </c>
      <c r="K140" t="s">
        <v>77</v>
      </c>
    </row>
    <row r="141" spans="1:11" x14ac:dyDescent="0.25">
      <c r="A141" t="str">
        <f>_xlfn.CONCAT(VLOOKUP(B141,Indicateurs!$A:$B,2,0),"-",VLOOKUP(C141,Zones!$A:$B,2,0),"-",_xlfn.CONCAT(IF(K141&lt;&gt;"",VLOOKUP(K141,Desagregations!$A:$B,2,0),""),IF(L141&lt;&gt;"","_",""),IF(L141&lt;&gt;"",VLOOKUP(L141,Desagregations!$A:$B,2,0),""),IF(M141&lt;&gt;"","_",""),IF(M141&lt;&gt;"",VLOOKUP(M141,Desagregations!$A:$B,2,0),""),IF(N141&lt;&gt;"","_",""),IF(N141&lt;&gt;"",VLOOKUP(N141,Desagregations!$A:$B,2,0),""),IF(O141&lt;&gt;"","_",""),IF(O141&lt;&gt;"",VLOOKUP(O141,Desagregations!$A:$B,2,0),""),IF(P141&lt;&gt;"","_",""),IF(P141&lt;&gt;"",VLOOKUP(P141,Desagregations!$A:$B,2,0),"")),"-",VLOOKUP(D141,Unites!$A:$B,2,0),"-",VLOOKUP(E141,Sources!$A:$B,2,0),"-",VLOOKUP(F141,CommentaireValeurIndicateurs!$A:$B,2,0),"-",VLOOKUP(G141,NatureDonnees!$A:$B,2,0),"-",VLOOKUP(H141,Periodes!$A:$B,2,0))</f>
        <v>1314-1-6-4-48-3-1-27</v>
      </c>
      <c r="B141" s="2" t="s">
        <v>70</v>
      </c>
      <c r="C141" s="4" t="s">
        <v>136</v>
      </c>
      <c r="D141" t="s">
        <v>125</v>
      </c>
      <c r="E141" t="s">
        <v>122</v>
      </c>
      <c r="F141" s="4" t="s">
        <v>399</v>
      </c>
      <c r="G141" s="4" t="s">
        <v>400</v>
      </c>
      <c r="H141">
        <v>2026</v>
      </c>
      <c r="I141">
        <v>40</v>
      </c>
      <c r="K141" t="s">
        <v>77</v>
      </c>
    </row>
    <row r="142" spans="1:11" x14ac:dyDescent="0.25">
      <c r="A142" t="str">
        <f>_xlfn.CONCAT(VLOOKUP(B142,Indicateurs!$A:$B,2,0),"-",VLOOKUP(C142,Zones!$A:$B,2,0),"-",_xlfn.CONCAT(IF(K142&lt;&gt;"",VLOOKUP(K142,Desagregations!$A:$B,2,0),""),IF(L142&lt;&gt;"","_",""),IF(L142&lt;&gt;"",VLOOKUP(L142,Desagregations!$A:$B,2,0),""),IF(M142&lt;&gt;"","_",""),IF(M142&lt;&gt;"",VLOOKUP(M142,Desagregations!$A:$B,2,0),""),IF(N142&lt;&gt;"","_",""),IF(N142&lt;&gt;"",VLOOKUP(N142,Desagregations!$A:$B,2,0),""),IF(O142&lt;&gt;"","_",""),IF(O142&lt;&gt;"",VLOOKUP(O142,Desagregations!$A:$B,2,0),""),IF(P142&lt;&gt;"","_",""),IF(P142&lt;&gt;"",VLOOKUP(P142,Desagregations!$A:$B,2,0),"")),"-",VLOOKUP(D142,Unites!$A:$B,2,0),"-",VLOOKUP(E142,Sources!$A:$B,2,0),"-",VLOOKUP(F142,CommentaireValeurIndicateurs!$A:$B,2,0),"-",VLOOKUP(G142,NatureDonnees!$A:$B,2,0),"-",VLOOKUP(H142,Periodes!$A:$B,2,0))</f>
        <v>1315-1-6-4-49-3-1-27</v>
      </c>
      <c r="B142" s="2" t="s">
        <v>71</v>
      </c>
      <c r="C142" s="4" t="s">
        <v>136</v>
      </c>
      <c r="D142" t="s">
        <v>125</v>
      </c>
      <c r="E142" t="s">
        <v>123</v>
      </c>
      <c r="F142" s="4" t="s">
        <v>399</v>
      </c>
      <c r="G142" s="4" t="s">
        <v>400</v>
      </c>
      <c r="H142">
        <v>2026</v>
      </c>
      <c r="I142">
        <v>66.8</v>
      </c>
      <c r="K142" t="s">
        <v>77</v>
      </c>
    </row>
    <row r="143" spans="1:11" x14ac:dyDescent="0.25">
      <c r="A143" t="str">
        <f>_xlfn.CONCAT(VLOOKUP(B143,Indicateurs!$A:$B,2,0),"-",VLOOKUP(C143,Zones!$A:$B,2,0),"-",_xlfn.CONCAT(IF(K143&lt;&gt;"",VLOOKUP(K143,Desagregations!$A:$B,2,0),""),IF(L143&lt;&gt;"","_",""),IF(L143&lt;&gt;"",VLOOKUP(L143,Desagregations!$A:$B,2,0),""),IF(M143&lt;&gt;"","_",""),IF(M143&lt;&gt;"",VLOOKUP(M143,Desagregations!$A:$B,2,0),""),IF(N143&lt;&gt;"","_",""),IF(N143&lt;&gt;"",VLOOKUP(N143,Desagregations!$A:$B,2,0),""),IF(O143&lt;&gt;"","_",""),IF(O143&lt;&gt;"",VLOOKUP(O143,Desagregations!$A:$B,2,0),""),IF(P143&lt;&gt;"","_",""),IF(P143&lt;&gt;"",VLOOKUP(P143,Desagregations!$A:$B,2,0),"")),"-",VLOOKUP(D143,Unites!$A:$B,2,0),"-",VLOOKUP(E143,Sources!$A:$B,2,0),"-",VLOOKUP(F143,CommentaireValeurIndicateurs!$A:$B,2,0),"-",VLOOKUP(G143,NatureDonnees!$A:$B,2,0),"-",VLOOKUP(H143,Periodes!$A:$B,2,0))</f>
        <v>1316-1-6-4-50-3-1-27</v>
      </c>
      <c r="B143" s="2" t="s">
        <v>72</v>
      </c>
      <c r="C143" s="4" t="s">
        <v>136</v>
      </c>
      <c r="D143" t="s">
        <v>125</v>
      </c>
      <c r="E143" t="s">
        <v>124</v>
      </c>
      <c r="F143" s="4" t="s">
        <v>399</v>
      </c>
      <c r="G143" s="4" t="s">
        <v>400</v>
      </c>
      <c r="H143">
        <v>2026</v>
      </c>
      <c r="I143">
        <v>60</v>
      </c>
      <c r="K143" t="s">
        <v>77</v>
      </c>
    </row>
    <row r="144" spans="1:11" x14ac:dyDescent="0.25">
      <c r="A144" t="str">
        <f>_xlfn.CONCAT(VLOOKUP(B144,Indicateurs!$A:$B,2,0),"-",VLOOKUP(C144,Zones!$A:$B,2,0),"-",_xlfn.CONCAT(IF(K144&lt;&gt;"",VLOOKUP(K144,Desagregations!$A:$B,2,0),""),IF(L144&lt;&gt;"","_",""),IF(L144&lt;&gt;"",VLOOKUP(L144,Desagregations!$A:$B,2,0),""),IF(M144&lt;&gt;"","_",""),IF(M144&lt;&gt;"",VLOOKUP(M144,Desagregations!$A:$B,2,0),""),IF(N144&lt;&gt;"","_",""),IF(N144&lt;&gt;"",VLOOKUP(N144,Desagregations!$A:$B,2,0),""),IF(O144&lt;&gt;"","_",""),IF(O144&lt;&gt;"",VLOOKUP(O144,Desagregations!$A:$B,2,0),""),IF(P144&lt;&gt;"","_",""),IF(P144&lt;&gt;"",VLOOKUP(P144,Desagregations!$A:$B,2,0),"")),"-",VLOOKUP(D144,Unites!$A:$B,2,0),"-",VLOOKUP(E144,Sources!$A:$B,2,0),"-",VLOOKUP(F144,CommentaireValeurIndicateurs!$A:$B,2,0),"-",VLOOKUP(G144,NatureDonnees!$A:$B,2,0),"-",VLOOKUP(H144,Periodes!$A:$B,2,0))</f>
        <v>1246-1-6-4-4-3-1-28</v>
      </c>
      <c r="B144" s="2" t="s">
        <v>2</v>
      </c>
      <c r="C144" s="4" t="s">
        <v>136</v>
      </c>
      <c r="D144" t="s">
        <v>125</v>
      </c>
      <c r="E144" t="s">
        <v>78</v>
      </c>
      <c r="F144" s="4" t="s">
        <v>399</v>
      </c>
      <c r="G144" s="4" t="s">
        <v>400</v>
      </c>
      <c r="H144">
        <v>2027</v>
      </c>
      <c r="I144">
        <v>36.07</v>
      </c>
      <c r="K144" t="s">
        <v>77</v>
      </c>
    </row>
    <row r="145" spans="1:11" x14ac:dyDescent="0.25">
      <c r="A145" t="str">
        <f>_xlfn.CONCAT(VLOOKUP(B145,Indicateurs!$A:$B,2,0),"-",VLOOKUP(C145,Zones!$A:$B,2,0),"-",_xlfn.CONCAT(IF(K145&lt;&gt;"",VLOOKUP(K145,Desagregations!$A:$B,2,0),""),IF(L145&lt;&gt;"","_",""),IF(L145&lt;&gt;"",VLOOKUP(L145,Desagregations!$A:$B,2,0),""),IF(M145&lt;&gt;"","_",""),IF(M145&lt;&gt;"",VLOOKUP(M145,Desagregations!$A:$B,2,0),""),IF(N145&lt;&gt;"","_",""),IF(N145&lt;&gt;"",VLOOKUP(N145,Desagregations!$A:$B,2,0),""),IF(O145&lt;&gt;"","_",""),IF(O145&lt;&gt;"",VLOOKUP(O145,Desagregations!$A:$B,2,0),""),IF(P145&lt;&gt;"","_",""),IF(P145&lt;&gt;"",VLOOKUP(P145,Desagregations!$A:$B,2,0),"")),"-",VLOOKUP(D145,Unites!$A:$B,2,0),"-",VLOOKUP(E145,Sources!$A:$B,2,0),"-",VLOOKUP(F145,CommentaireValeurIndicateurs!$A:$B,2,0),"-",VLOOKUP(G145,NatureDonnees!$A:$B,2,0),"-",VLOOKUP(H145,Periodes!$A:$B,2,0))</f>
        <v>1247-1-6-4-4-3-1-28</v>
      </c>
      <c r="B145" s="2" t="s">
        <v>3</v>
      </c>
      <c r="C145" s="4" t="s">
        <v>136</v>
      </c>
      <c r="D145" t="s">
        <v>125</v>
      </c>
      <c r="E145" t="s">
        <v>78</v>
      </c>
      <c r="F145" s="4" t="s">
        <v>399</v>
      </c>
      <c r="G145" s="4" t="s">
        <v>400</v>
      </c>
      <c r="H145">
        <v>2027</v>
      </c>
      <c r="I145">
        <v>64.84</v>
      </c>
      <c r="K145" t="s">
        <v>77</v>
      </c>
    </row>
    <row r="146" spans="1:11" x14ac:dyDescent="0.25">
      <c r="A146" t="str">
        <f>_xlfn.CONCAT(VLOOKUP(B146,Indicateurs!$A:$B,2,0),"-",VLOOKUP(C146,Zones!$A:$B,2,0),"-",_xlfn.CONCAT(IF(K146&lt;&gt;"",VLOOKUP(K146,Desagregations!$A:$B,2,0),""),IF(L146&lt;&gt;"","_",""),IF(L146&lt;&gt;"",VLOOKUP(L146,Desagregations!$A:$B,2,0),""),IF(M146&lt;&gt;"","_",""),IF(M146&lt;&gt;"",VLOOKUP(M146,Desagregations!$A:$B,2,0),""),IF(N146&lt;&gt;"","_",""),IF(N146&lt;&gt;"",VLOOKUP(N146,Desagregations!$A:$B,2,0),""),IF(O146&lt;&gt;"","_",""),IF(O146&lt;&gt;"",VLOOKUP(O146,Desagregations!$A:$B,2,0),""),IF(P146&lt;&gt;"","_",""),IF(P146&lt;&gt;"",VLOOKUP(P146,Desagregations!$A:$B,2,0),"")),"-",VLOOKUP(D146,Unites!$A:$B,2,0),"-",VLOOKUP(E146,Sources!$A:$B,2,0),"-",VLOOKUP(F146,CommentaireValeurIndicateurs!$A:$B,2,0),"-",VLOOKUP(G146,NatureDonnees!$A:$B,2,0),"-",VLOOKUP(H146,Periodes!$A:$B,2,0))</f>
        <v>1248-1-6-5-5-3-1-28</v>
      </c>
      <c r="B146" s="2" t="s">
        <v>4</v>
      </c>
      <c r="C146" s="4" t="s">
        <v>136</v>
      </c>
      <c r="D146" t="s">
        <v>126</v>
      </c>
      <c r="E146" t="s">
        <v>79</v>
      </c>
      <c r="F146" s="4" t="s">
        <v>399</v>
      </c>
      <c r="G146" s="4" t="s">
        <v>400</v>
      </c>
      <c r="H146">
        <v>2027</v>
      </c>
      <c r="I146">
        <v>66.38</v>
      </c>
      <c r="K146" t="s">
        <v>77</v>
      </c>
    </row>
    <row r="147" spans="1:11" x14ac:dyDescent="0.25">
      <c r="A147" t="str">
        <f>_xlfn.CONCAT(VLOOKUP(B147,Indicateurs!$A:$B,2,0),"-",VLOOKUP(C147,Zones!$A:$B,2,0),"-",_xlfn.CONCAT(IF(K147&lt;&gt;"",VLOOKUP(K147,Desagregations!$A:$B,2,0),""),IF(L147&lt;&gt;"","_",""),IF(L147&lt;&gt;"",VLOOKUP(L147,Desagregations!$A:$B,2,0),""),IF(M147&lt;&gt;"","_",""),IF(M147&lt;&gt;"",VLOOKUP(M147,Desagregations!$A:$B,2,0),""),IF(N147&lt;&gt;"","_",""),IF(N147&lt;&gt;"",VLOOKUP(N147,Desagregations!$A:$B,2,0),""),IF(O147&lt;&gt;"","_",""),IF(O147&lt;&gt;"",VLOOKUP(O147,Desagregations!$A:$B,2,0),""),IF(P147&lt;&gt;"","_",""),IF(P147&lt;&gt;"",VLOOKUP(P147,Desagregations!$A:$B,2,0),"")),"-",VLOOKUP(D147,Unites!$A:$B,2,0),"-",VLOOKUP(E147,Sources!$A:$B,2,0),"-",VLOOKUP(F147,CommentaireValeurIndicateurs!$A:$B,2,0),"-",VLOOKUP(G147,NatureDonnees!$A:$B,2,0),"-",VLOOKUP(H147,Periodes!$A:$B,2,0))</f>
        <v>1249-1-6-4-4-3-1-28</v>
      </c>
      <c r="B147" s="2" t="s">
        <v>5</v>
      </c>
      <c r="C147" s="4" t="s">
        <v>136</v>
      </c>
      <c r="D147" t="s">
        <v>125</v>
      </c>
      <c r="E147" t="s">
        <v>78</v>
      </c>
      <c r="F147" s="4" t="s">
        <v>399</v>
      </c>
      <c r="G147" s="4" t="s">
        <v>400</v>
      </c>
      <c r="H147">
        <v>2027</v>
      </c>
      <c r="I147">
        <v>85.94</v>
      </c>
      <c r="K147" t="s">
        <v>77</v>
      </c>
    </row>
    <row r="148" spans="1:11" x14ac:dyDescent="0.25">
      <c r="A148" t="str">
        <f>_xlfn.CONCAT(VLOOKUP(B148,Indicateurs!$A:$B,2,0),"-",VLOOKUP(C148,Zones!$A:$B,2,0),"-",_xlfn.CONCAT(IF(K148&lt;&gt;"",VLOOKUP(K148,Desagregations!$A:$B,2,0),""),IF(L148&lt;&gt;"","_",""),IF(L148&lt;&gt;"",VLOOKUP(L148,Desagregations!$A:$B,2,0),""),IF(M148&lt;&gt;"","_",""),IF(M148&lt;&gt;"",VLOOKUP(M148,Desagregations!$A:$B,2,0),""),IF(N148&lt;&gt;"","_",""),IF(N148&lt;&gt;"",VLOOKUP(N148,Desagregations!$A:$B,2,0),""),IF(O148&lt;&gt;"","_",""),IF(O148&lt;&gt;"",VLOOKUP(O148,Desagregations!$A:$B,2,0),""),IF(P148&lt;&gt;"","_",""),IF(P148&lt;&gt;"",VLOOKUP(P148,Desagregations!$A:$B,2,0),"")),"-",VLOOKUP(D148,Unites!$A:$B,2,0),"-",VLOOKUP(E148,Sources!$A:$B,2,0),"-",VLOOKUP(F148,CommentaireValeurIndicateurs!$A:$B,2,0),"-",VLOOKUP(G148,NatureDonnees!$A:$B,2,0),"-",VLOOKUP(H148,Periodes!$A:$B,2,0))</f>
        <v>1250-1-6-4-6-3-1-28</v>
      </c>
      <c r="B148" s="2" t="s">
        <v>6</v>
      </c>
      <c r="C148" s="4" t="s">
        <v>136</v>
      </c>
      <c r="D148" t="s">
        <v>125</v>
      </c>
      <c r="E148" t="s">
        <v>80</v>
      </c>
      <c r="F148" s="4" t="s">
        <v>399</v>
      </c>
      <c r="G148" s="4" t="s">
        <v>400</v>
      </c>
      <c r="H148">
        <v>2027</v>
      </c>
      <c r="I148">
        <v>9</v>
      </c>
      <c r="K148" t="s">
        <v>77</v>
      </c>
    </row>
    <row r="149" spans="1:11" x14ac:dyDescent="0.25">
      <c r="A149" t="str">
        <f>_xlfn.CONCAT(VLOOKUP(B149,Indicateurs!$A:$B,2,0),"-",VLOOKUP(C149,Zones!$A:$B,2,0),"-",_xlfn.CONCAT(IF(K149&lt;&gt;"",VLOOKUP(K149,Desagregations!$A:$B,2,0),""),IF(L149&lt;&gt;"","_",""),IF(L149&lt;&gt;"",VLOOKUP(L149,Desagregations!$A:$B,2,0),""),IF(M149&lt;&gt;"","_",""),IF(M149&lt;&gt;"",VLOOKUP(M149,Desagregations!$A:$B,2,0),""),IF(N149&lt;&gt;"","_",""),IF(N149&lt;&gt;"",VLOOKUP(N149,Desagregations!$A:$B,2,0),""),IF(O149&lt;&gt;"","_",""),IF(O149&lt;&gt;"",VLOOKUP(O149,Desagregations!$A:$B,2,0),""),IF(P149&lt;&gt;"","_",""),IF(P149&lt;&gt;"",VLOOKUP(P149,Desagregations!$A:$B,2,0),"")),"-",VLOOKUP(D149,Unites!$A:$B,2,0),"-",VLOOKUP(E149,Sources!$A:$B,2,0),"-",VLOOKUP(F149,CommentaireValeurIndicateurs!$A:$B,2,0),"-",VLOOKUP(G149,NatureDonnees!$A:$B,2,0),"-",VLOOKUP(H149,Periodes!$A:$B,2,0))</f>
        <v>1251-1-6-4-7-3-1-28</v>
      </c>
      <c r="B149" s="2" t="s">
        <v>7</v>
      </c>
      <c r="C149" s="4" t="s">
        <v>136</v>
      </c>
      <c r="D149" t="s">
        <v>125</v>
      </c>
      <c r="E149" t="s">
        <v>81</v>
      </c>
      <c r="F149" s="4" t="s">
        <v>399</v>
      </c>
      <c r="G149" s="4" t="s">
        <v>400</v>
      </c>
      <c r="H149">
        <v>2027</v>
      </c>
      <c r="I149">
        <v>57.26</v>
      </c>
      <c r="K149" t="s">
        <v>77</v>
      </c>
    </row>
    <row r="150" spans="1:11" x14ac:dyDescent="0.25">
      <c r="A150" t="str">
        <f>_xlfn.CONCAT(VLOOKUP(B150,Indicateurs!$A:$B,2,0),"-",VLOOKUP(C150,Zones!$A:$B,2,0),"-",_xlfn.CONCAT(IF(K150&lt;&gt;"",VLOOKUP(K150,Desagregations!$A:$B,2,0),""),IF(L150&lt;&gt;"","_",""),IF(L150&lt;&gt;"",VLOOKUP(L150,Desagregations!$A:$B,2,0),""),IF(M150&lt;&gt;"","_",""),IF(M150&lt;&gt;"",VLOOKUP(M150,Desagregations!$A:$B,2,0),""),IF(N150&lt;&gt;"","_",""),IF(N150&lt;&gt;"",VLOOKUP(N150,Desagregations!$A:$B,2,0),""),IF(O150&lt;&gt;"","_",""),IF(O150&lt;&gt;"",VLOOKUP(O150,Desagregations!$A:$B,2,0),""),IF(P150&lt;&gt;"","_",""),IF(P150&lt;&gt;"",VLOOKUP(P150,Desagregations!$A:$B,2,0),"")),"-",VLOOKUP(D150,Unites!$A:$B,2,0),"-",VLOOKUP(E150,Sources!$A:$B,2,0),"-",VLOOKUP(F150,CommentaireValeurIndicateurs!$A:$B,2,0),"-",VLOOKUP(G150,NatureDonnees!$A:$B,2,0),"-",VLOOKUP(H150,Periodes!$A:$B,2,0))</f>
        <v>1252-1-6-4-8-3-1-28</v>
      </c>
      <c r="B150" s="2" t="s">
        <v>8</v>
      </c>
      <c r="C150" s="4" t="s">
        <v>136</v>
      </c>
      <c r="D150" t="s">
        <v>125</v>
      </c>
      <c r="E150" t="s">
        <v>82</v>
      </c>
      <c r="F150" s="4" t="s">
        <v>399</v>
      </c>
      <c r="G150" s="4" t="s">
        <v>400</v>
      </c>
      <c r="H150">
        <v>2027</v>
      </c>
      <c r="I150">
        <v>20.95</v>
      </c>
      <c r="K150" t="s">
        <v>77</v>
      </c>
    </row>
    <row r="151" spans="1:11" x14ac:dyDescent="0.25">
      <c r="A151" t="str">
        <f>_xlfn.CONCAT(VLOOKUP(B151,Indicateurs!$A:$B,2,0),"-",VLOOKUP(C151,Zones!$A:$B,2,0),"-",_xlfn.CONCAT(IF(K151&lt;&gt;"",VLOOKUP(K151,Desagregations!$A:$B,2,0),""),IF(L151&lt;&gt;"","_",""),IF(L151&lt;&gt;"",VLOOKUP(L151,Desagregations!$A:$B,2,0),""),IF(M151&lt;&gt;"","_",""),IF(M151&lt;&gt;"",VLOOKUP(M151,Desagregations!$A:$B,2,0),""),IF(N151&lt;&gt;"","_",""),IF(N151&lt;&gt;"",VLOOKUP(N151,Desagregations!$A:$B,2,0),""),IF(O151&lt;&gt;"","_",""),IF(O151&lt;&gt;"",VLOOKUP(O151,Desagregations!$A:$B,2,0),""),IF(P151&lt;&gt;"","_",""),IF(P151&lt;&gt;"",VLOOKUP(P151,Desagregations!$A:$B,2,0),"")),"-",VLOOKUP(D151,Unites!$A:$B,2,0),"-",VLOOKUP(E151,Sources!$A:$B,2,0),"-",VLOOKUP(F151,CommentaireValeurIndicateurs!$A:$B,2,0),"-",VLOOKUP(G151,NatureDonnees!$A:$B,2,0),"-",VLOOKUP(H151,Periodes!$A:$B,2,0))</f>
        <v>1253-1-6-4-8-3-1-28</v>
      </c>
      <c r="B151" s="2" t="s">
        <v>9</v>
      </c>
      <c r="C151" s="4" t="s">
        <v>136</v>
      </c>
      <c r="D151" t="s">
        <v>125</v>
      </c>
      <c r="E151" t="s">
        <v>82</v>
      </c>
      <c r="F151" s="4" t="s">
        <v>399</v>
      </c>
      <c r="G151" s="4" t="s">
        <v>400</v>
      </c>
      <c r="H151">
        <v>2027</v>
      </c>
      <c r="I151">
        <v>23.77</v>
      </c>
      <c r="K151" t="s">
        <v>77</v>
      </c>
    </row>
    <row r="152" spans="1:11" x14ac:dyDescent="0.25">
      <c r="A152" t="str">
        <f>_xlfn.CONCAT(VLOOKUP(B152,Indicateurs!$A:$B,2,0),"-",VLOOKUP(C152,Zones!$A:$B,2,0),"-",_xlfn.CONCAT(IF(K152&lt;&gt;"",VLOOKUP(K152,Desagregations!$A:$B,2,0),""),IF(L152&lt;&gt;"","_",""),IF(L152&lt;&gt;"",VLOOKUP(L152,Desagregations!$A:$B,2,0),""),IF(M152&lt;&gt;"","_",""),IF(M152&lt;&gt;"",VLOOKUP(M152,Desagregations!$A:$B,2,0),""),IF(N152&lt;&gt;"","_",""),IF(N152&lt;&gt;"",VLOOKUP(N152,Desagregations!$A:$B,2,0),""),IF(O152&lt;&gt;"","_",""),IF(O152&lt;&gt;"",VLOOKUP(O152,Desagregations!$A:$B,2,0),""),IF(P152&lt;&gt;"","_",""),IF(P152&lt;&gt;"",VLOOKUP(P152,Desagregations!$A:$B,2,0),"")),"-",VLOOKUP(D152,Unites!$A:$B,2,0),"-",VLOOKUP(E152,Sources!$A:$B,2,0),"-",VLOOKUP(F152,CommentaireValeurIndicateurs!$A:$B,2,0),"-",VLOOKUP(G152,NatureDonnees!$A:$B,2,0),"-",VLOOKUP(H152,Periodes!$A:$B,2,0))</f>
        <v>1254-1-6-4-4-3-1-28</v>
      </c>
      <c r="B152" s="2" t="s">
        <v>10</v>
      </c>
      <c r="C152" s="4" t="s">
        <v>136</v>
      </c>
      <c r="D152" t="s">
        <v>125</v>
      </c>
      <c r="E152" t="s">
        <v>78</v>
      </c>
      <c r="F152" s="4" t="s">
        <v>399</v>
      </c>
      <c r="G152" s="4" t="s">
        <v>400</v>
      </c>
      <c r="H152">
        <v>2027</v>
      </c>
      <c r="I152">
        <v>17.93</v>
      </c>
      <c r="K152" t="s">
        <v>77</v>
      </c>
    </row>
    <row r="153" spans="1:11" x14ac:dyDescent="0.25">
      <c r="A153" t="str">
        <f>_xlfn.CONCAT(VLOOKUP(B153,Indicateurs!$A:$B,2,0),"-",VLOOKUP(C153,Zones!$A:$B,2,0),"-",_xlfn.CONCAT(IF(K153&lt;&gt;"",VLOOKUP(K153,Desagregations!$A:$B,2,0),""),IF(L153&lt;&gt;"","_",""),IF(L153&lt;&gt;"",VLOOKUP(L153,Desagregations!$A:$B,2,0),""),IF(M153&lt;&gt;"","_",""),IF(M153&lt;&gt;"",VLOOKUP(M153,Desagregations!$A:$B,2,0),""),IF(N153&lt;&gt;"","_",""),IF(N153&lt;&gt;"",VLOOKUP(N153,Desagregations!$A:$B,2,0),""),IF(O153&lt;&gt;"","_",""),IF(O153&lt;&gt;"",VLOOKUP(O153,Desagregations!$A:$B,2,0),""),IF(P153&lt;&gt;"","_",""),IF(P153&lt;&gt;"",VLOOKUP(P153,Desagregations!$A:$B,2,0),"")),"-",VLOOKUP(D153,Unites!$A:$B,2,0),"-",VLOOKUP(E153,Sources!$A:$B,2,0),"-",VLOOKUP(F153,CommentaireValeurIndicateurs!$A:$B,2,0),"-",VLOOKUP(G153,NatureDonnees!$A:$B,2,0),"-",VLOOKUP(H153,Periodes!$A:$B,2,0))</f>
        <v>1255-1-6-4-4-3-1-28</v>
      </c>
      <c r="B153" s="2" t="s">
        <v>11</v>
      </c>
      <c r="C153" s="4" t="s">
        <v>136</v>
      </c>
      <c r="D153" t="s">
        <v>125</v>
      </c>
      <c r="E153" t="s">
        <v>78</v>
      </c>
      <c r="F153" s="4" t="s">
        <v>399</v>
      </c>
      <c r="G153" s="4" t="s">
        <v>400</v>
      </c>
      <c r="H153">
        <v>2027</v>
      </c>
      <c r="I153">
        <v>83.54</v>
      </c>
      <c r="K153" t="s">
        <v>77</v>
      </c>
    </row>
    <row r="154" spans="1:11" x14ac:dyDescent="0.25">
      <c r="A154" t="str">
        <f>_xlfn.CONCAT(VLOOKUP(B154,Indicateurs!$A:$B,2,0),"-",VLOOKUP(C154,Zones!$A:$B,2,0),"-",_xlfn.CONCAT(IF(K154&lt;&gt;"",VLOOKUP(K154,Desagregations!$A:$B,2,0),""),IF(L154&lt;&gt;"","_",""),IF(L154&lt;&gt;"",VLOOKUP(L154,Desagregations!$A:$B,2,0),""),IF(M154&lt;&gt;"","_",""),IF(M154&lt;&gt;"",VLOOKUP(M154,Desagregations!$A:$B,2,0),""),IF(N154&lt;&gt;"","_",""),IF(N154&lt;&gt;"",VLOOKUP(N154,Desagregations!$A:$B,2,0),""),IF(O154&lt;&gt;"","_",""),IF(O154&lt;&gt;"",VLOOKUP(O154,Desagregations!$A:$B,2,0),""),IF(P154&lt;&gt;"","_",""),IF(P154&lt;&gt;"",VLOOKUP(P154,Desagregations!$A:$B,2,0),"")),"-",VLOOKUP(D154,Unites!$A:$B,2,0),"-",VLOOKUP(E154,Sources!$A:$B,2,0),"-",VLOOKUP(F154,CommentaireValeurIndicateurs!$A:$B,2,0),"-",VLOOKUP(G154,NatureDonnees!$A:$B,2,0),"-",VLOOKUP(H154,Periodes!$A:$B,2,0))</f>
        <v>1256-1-6-4-9-3-1-28</v>
      </c>
      <c r="B154" s="2" t="s">
        <v>12</v>
      </c>
      <c r="C154" s="4" t="s">
        <v>136</v>
      </c>
      <c r="D154" s="4" t="s">
        <v>125</v>
      </c>
      <c r="E154" t="s">
        <v>83</v>
      </c>
      <c r="F154" s="4" t="s">
        <v>399</v>
      </c>
      <c r="G154" s="4" t="s">
        <v>400</v>
      </c>
      <c r="H154">
        <v>2027</v>
      </c>
      <c r="I154">
        <v>79</v>
      </c>
      <c r="K154" t="s">
        <v>77</v>
      </c>
    </row>
    <row r="155" spans="1:11" x14ac:dyDescent="0.25">
      <c r="A155" t="str">
        <f>_xlfn.CONCAT(VLOOKUP(B155,Indicateurs!$A:$B,2,0),"-",VLOOKUP(C155,Zones!$A:$B,2,0),"-",_xlfn.CONCAT(IF(K155&lt;&gt;"",VLOOKUP(K155,Desagregations!$A:$B,2,0),""),IF(L155&lt;&gt;"","_",""),IF(L155&lt;&gt;"",VLOOKUP(L155,Desagregations!$A:$B,2,0),""),IF(M155&lt;&gt;"","_",""),IF(M155&lt;&gt;"",VLOOKUP(M155,Desagregations!$A:$B,2,0),""),IF(N155&lt;&gt;"","_",""),IF(N155&lt;&gt;"",VLOOKUP(N155,Desagregations!$A:$B,2,0),""),IF(O155&lt;&gt;"","_",""),IF(O155&lt;&gt;"",VLOOKUP(O155,Desagregations!$A:$B,2,0),""),IF(P155&lt;&gt;"","_",""),IF(P155&lt;&gt;"",VLOOKUP(P155,Desagregations!$A:$B,2,0),"")),"-",VLOOKUP(D155,Unites!$A:$B,2,0),"-",VLOOKUP(E155,Sources!$A:$B,2,0),"-",VLOOKUP(F155,CommentaireValeurIndicateurs!$A:$B,2,0),"-",VLOOKUP(G155,NatureDonnees!$A:$B,2,0),"-",VLOOKUP(H155,Periodes!$A:$B,2,0))</f>
        <v>1257-1-6-6-10-3-1-28</v>
      </c>
      <c r="B155" s="2" t="s">
        <v>13</v>
      </c>
      <c r="C155" s="4" t="s">
        <v>136</v>
      </c>
      <c r="D155" t="s">
        <v>127</v>
      </c>
      <c r="E155" t="s">
        <v>84</v>
      </c>
      <c r="F155" s="4" t="s">
        <v>399</v>
      </c>
      <c r="G155" s="4" t="s">
        <v>400</v>
      </c>
      <c r="H155">
        <v>2027</v>
      </c>
      <c r="I155">
        <v>17</v>
      </c>
      <c r="K155" t="s">
        <v>77</v>
      </c>
    </row>
    <row r="156" spans="1:11" x14ac:dyDescent="0.25">
      <c r="A156" t="str">
        <f>_xlfn.CONCAT(VLOOKUP(B156,Indicateurs!$A:$B,2,0),"-",VLOOKUP(C156,Zones!$A:$B,2,0),"-",_xlfn.CONCAT(IF(K156&lt;&gt;"",VLOOKUP(K156,Desagregations!$A:$B,2,0),""),IF(L156&lt;&gt;"","_",""),IF(L156&lt;&gt;"",VLOOKUP(L156,Desagregations!$A:$B,2,0),""),IF(M156&lt;&gt;"","_",""),IF(M156&lt;&gt;"",VLOOKUP(M156,Desagregations!$A:$B,2,0),""),IF(N156&lt;&gt;"","_",""),IF(N156&lt;&gt;"",VLOOKUP(N156,Desagregations!$A:$B,2,0),""),IF(O156&lt;&gt;"","_",""),IF(O156&lt;&gt;"",VLOOKUP(O156,Desagregations!$A:$B,2,0),""),IF(P156&lt;&gt;"","_",""),IF(P156&lt;&gt;"",VLOOKUP(P156,Desagregations!$A:$B,2,0),"")),"-",VLOOKUP(D156,Unites!$A:$B,2,0),"-",VLOOKUP(E156,Sources!$A:$B,2,0),"-",VLOOKUP(F156,CommentaireValeurIndicateurs!$A:$B,2,0),"-",VLOOKUP(G156,NatureDonnees!$A:$B,2,0),"-",VLOOKUP(H156,Periodes!$A:$B,2,0))</f>
        <v>1258-1-6-4-10-3-1-28</v>
      </c>
      <c r="B156" s="2" t="s">
        <v>14</v>
      </c>
      <c r="C156" s="4" t="s">
        <v>136</v>
      </c>
      <c r="D156" t="s">
        <v>125</v>
      </c>
      <c r="E156" t="s">
        <v>84</v>
      </c>
      <c r="F156" s="4" t="s">
        <v>399</v>
      </c>
      <c r="G156" s="4" t="s">
        <v>400</v>
      </c>
      <c r="H156">
        <v>2027</v>
      </c>
      <c r="I156">
        <v>72</v>
      </c>
      <c r="K156" t="s">
        <v>77</v>
      </c>
    </row>
    <row r="157" spans="1:11" x14ac:dyDescent="0.25">
      <c r="A157" t="str">
        <f>_xlfn.CONCAT(VLOOKUP(B157,Indicateurs!$A:$B,2,0),"-",VLOOKUP(C157,Zones!$A:$B,2,0),"-",_xlfn.CONCAT(IF(K157&lt;&gt;"",VLOOKUP(K157,Desagregations!$A:$B,2,0),""),IF(L157&lt;&gt;"","_",""),IF(L157&lt;&gt;"",VLOOKUP(L157,Desagregations!$A:$B,2,0),""),IF(M157&lt;&gt;"","_",""),IF(M157&lt;&gt;"",VLOOKUP(M157,Desagregations!$A:$B,2,0),""),IF(N157&lt;&gt;"","_",""),IF(N157&lt;&gt;"",VLOOKUP(N157,Desagregations!$A:$B,2,0),""),IF(O157&lt;&gt;"","_",""),IF(O157&lt;&gt;"",VLOOKUP(O157,Desagregations!$A:$B,2,0),""),IF(P157&lt;&gt;"","_",""),IF(P157&lt;&gt;"",VLOOKUP(P157,Desagregations!$A:$B,2,0),"")),"-",VLOOKUP(D157,Unites!$A:$B,2,0),"-",VLOOKUP(E157,Sources!$A:$B,2,0),"-",VLOOKUP(F157,CommentaireValeurIndicateurs!$A:$B,2,0),"-",VLOOKUP(G157,NatureDonnees!$A:$B,2,0),"-",VLOOKUP(H157,Periodes!$A:$B,2,0))</f>
        <v>1259-1-6-4-4-3-1-28</v>
      </c>
      <c r="B157" s="2" t="s">
        <v>15</v>
      </c>
      <c r="C157" s="4" t="s">
        <v>136</v>
      </c>
      <c r="D157" t="s">
        <v>125</v>
      </c>
      <c r="E157" t="s">
        <v>78</v>
      </c>
      <c r="F157" s="4" t="s">
        <v>399</v>
      </c>
      <c r="G157" s="4" t="s">
        <v>400</v>
      </c>
      <c r="H157">
        <v>2027</v>
      </c>
      <c r="I157">
        <v>46.87</v>
      </c>
      <c r="K157" t="s">
        <v>77</v>
      </c>
    </row>
    <row r="158" spans="1:11" x14ac:dyDescent="0.25">
      <c r="A158" t="str">
        <f>_xlfn.CONCAT(VLOOKUP(B158,Indicateurs!$A:$B,2,0),"-",VLOOKUP(C158,Zones!$A:$B,2,0),"-",_xlfn.CONCAT(IF(K158&lt;&gt;"",VLOOKUP(K158,Desagregations!$A:$B,2,0),""),IF(L158&lt;&gt;"","_",""),IF(L158&lt;&gt;"",VLOOKUP(L158,Desagregations!$A:$B,2,0),""),IF(M158&lt;&gt;"","_",""),IF(M158&lt;&gt;"",VLOOKUP(M158,Desagregations!$A:$B,2,0),""),IF(N158&lt;&gt;"","_",""),IF(N158&lt;&gt;"",VLOOKUP(N158,Desagregations!$A:$B,2,0),""),IF(O158&lt;&gt;"","_",""),IF(O158&lt;&gt;"",VLOOKUP(O158,Desagregations!$A:$B,2,0),""),IF(P158&lt;&gt;"","_",""),IF(P158&lt;&gt;"",VLOOKUP(P158,Desagregations!$A:$B,2,0),"")),"-",VLOOKUP(D158,Unites!$A:$B,2,0),"-",VLOOKUP(E158,Sources!$A:$B,2,0),"-",VLOOKUP(F158,CommentaireValeurIndicateurs!$A:$B,2,0),"-",VLOOKUP(G158,NatureDonnees!$A:$B,2,0),"-",VLOOKUP(H158,Periodes!$A:$B,2,0))</f>
        <v>1260-1-6-7-11-3-1-28</v>
      </c>
      <c r="B158" s="2" t="s">
        <v>16</v>
      </c>
      <c r="C158" s="4" t="s">
        <v>136</v>
      </c>
      <c r="D158" t="s">
        <v>128</v>
      </c>
      <c r="E158" t="s">
        <v>85</v>
      </c>
      <c r="F158" s="4" t="s">
        <v>399</v>
      </c>
      <c r="G158" s="4" t="s">
        <v>400</v>
      </c>
      <c r="H158">
        <v>2027</v>
      </c>
      <c r="I158">
        <v>5</v>
      </c>
      <c r="K158" t="s">
        <v>77</v>
      </c>
    </row>
    <row r="159" spans="1:11" x14ac:dyDescent="0.25">
      <c r="A159" t="str">
        <f>_xlfn.CONCAT(VLOOKUP(B159,Indicateurs!$A:$B,2,0),"-",VLOOKUP(C159,Zones!$A:$B,2,0),"-",_xlfn.CONCAT(IF(K159&lt;&gt;"",VLOOKUP(K159,Desagregations!$A:$B,2,0),""),IF(L159&lt;&gt;"","_",""),IF(L159&lt;&gt;"",VLOOKUP(L159,Desagregations!$A:$B,2,0),""),IF(M159&lt;&gt;"","_",""),IF(M159&lt;&gt;"",VLOOKUP(M159,Desagregations!$A:$B,2,0),""),IF(N159&lt;&gt;"","_",""),IF(N159&lt;&gt;"",VLOOKUP(N159,Desagregations!$A:$B,2,0),""),IF(O159&lt;&gt;"","_",""),IF(O159&lt;&gt;"",VLOOKUP(O159,Desagregations!$A:$B,2,0),""),IF(P159&lt;&gt;"","_",""),IF(P159&lt;&gt;"",VLOOKUP(P159,Desagregations!$A:$B,2,0),"")),"-",VLOOKUP(D159,Unites!$A:$B,2,0),"-",VLOOKUP(E159,Sources!$A:$B,2,0),"-",VLOOKUP(F159,CommentaireValeurIndicateurs!$A:$B,2,0),"-",VLOOKUP(G159,NatureDonnees!$A:$B,2,0),"-",VLOOKUP(H159,Periodes!$A:$B,2,0))</f>
        <v>1261-1-6-4-12-3-1-28</v>
      </c>
      <c r="B159" s="2" t="s">
        <v>17</v>
      </c>
      <c r="C159" s="4" t="s">
        <v>136</v>
      </c>
      <c r="D159" t="s">
        <v>125</v>
      </c>
      <c r="E159" t="s">
        <v>86</v>
      </c>
      <c r="F159" s="4" t="s">
        <v>399</v>
      </c>
      <c r="G159" s="4" t="s">
        <v>400</v>
      </c>
      <c r="H159">
        <v>2027</v>
      </c>
      <c r="I159">
        <v>80</v>
      </c>
      <c r="K159" t="s">
        <v>77</v>
      </c>
    </row>
    <row r="160" spans="1:11" x14ac:dyDescent="0.25">
      <c r="A160" t="str">
        <f>_xlfn.CONCAT(VLOOKUP(B160,Indicateurs!$A:$B,2,0),"-",VLOOKUP(C160,Zones!$A:$B,2,0),"-",_xlfn.CONCAT(IF(K160&lt;&gt;"",VLOOKUP(K160,Desagregations!$A:$B,2,0),""),IF(L160&lt;&gt;"","_",""),IF(L160&lt;&gt;"",VLOOKUP(L160,Desagregations!$A:$B,2,0),""),IF(M160&lt;&gt;"","_",""),IF(M160&lt;&gt;"",VLOOKUP(M160,Desagregations!$A:$B,2,0),""),IF(N160&lt;&gt;"","_",""),IF(N160&lt;&gt;"",VLOOKUP(N160,Desagregations!$A:$B,2,0),""),IF(O160&lt;&gt;"","_",""),IF(O160&lt;&gt;"",VLOOKUP(O160,Desagregations!$A:$B,2,0),""),IF(P160&lt;&gt;"","_",""),IF(P160&lt;&gt;"",VLOOKUP(P160,Desagregations!$A:$B,2,0),"")),"-",VLOOKUP(D160,Unites!$A:$B,2,0),"-",VLOOKUP(E160,Sources!$A:$B,2,0),"-",VLOOKUP(F160,CommentaireValeurIndicateurs!$A:$B,2,0),"-",VLOOKUP(G160,NatureDonnees!$A:$B,2,0),"-",VLOOKUP(H160,Periodes!$A:$B,2,0))</f>
        <v>1262-1-6-4-13-3-1-28</v>
      </c>
      <c r="B160" s="3" t="s">
        <v>18</v>
      </c>
      <c r="C160" s="4" t="s">
        <v>136</v>
      </c>
      <c r="D160" t="s">
        <v>125</v>
      </c>
      <c r="E160" t="s">
        <v>87</v>
      </c>
      <c r="F160" s="4" t="s">
        <v>399</v>
      </c>
      <c r="G160" s="4" t="s">
        <v>400</v>
      </c>
      <c r="H160">
        <v>2027</v>
      </c>
      <c r="I160">
        <v>92</v>
      </c>
      <c r="K160" t="s">
        <v>77</v>
      </c>
    </row>
    <row r="161" spans="1:11" x14ac:dyDescent="0.25">
      <c r="A161" t="str">
        <f>_xlfn.CONCAT(VLOOKUP(B161,Indicateurs!$A:$B,2,0),"-",VLOOKUP(C161,Zones!$A:$B,2,0),"-",_xlfn.CONCAT(IF(K161&lt;&gt;"",VLOOKUP(K161,Desagregations!$A:$B,2,0),""),IF(L161&lt;&gt;"","_",""),IF(L161&lt;&gt;"",VLOOKUP(L161,Desagregations!$A:$B,2,0),""),IF(M161&lt;&gt;"","_",""),IF(M161&lt;&gt;"",VLOOKUP(M161,Desagregations!$A:$B,2,0),""),IF(N161&lt;&gt;"","_",""),IF(N161&lt;&gt;"",VLOOKUP(N161,Desagregations!$A:$B,2,0),""),IF(O161&lt;&gt;"","_",""),IF(O161&lt;&gt;"",VLOOKUP(O161,Desagregations!$A:$B,2,0),""),IF(P161&lt;&gt;"","_",""),IF(P161&lt;&gt;"",VLOOKUP(P161,Desagregations!$A:$B,2,0),"")),"-",VLOOKUP(D161,Unites!$A:$B,2,0),"-",VLOOKUP(E161,Sources!$A:$B,2,0),"-",VLOOKUP(F161,CommentaireValeurIndicateurs!$A:$B,2,0),"-",VLOOKUP(G161,NatureDonnees!$A:$B,2,0),"-",VLOOKUP(H161,Periodes!$A:$B,2,0))</f>
        <v>1263-1-6-4-10-3-1-28</v>
      </c>
      <c r="B161" s="2" t="s">
        <v>19</v>
      </c>
      <c r="C161" s="4" t="s">
        <v>136</v>
      </c>
      <c r="D161" t="s">
        <v>125</v>
      </c>
      <c r="E161" t="s">
        <v>84</v>
      </c>
      <c r="F161" s="4" t="s">
        <v>399</v>
      </c>
      <c r="G161" s="4" t="s">
        <v>400</v>
      </c>
      <c r="H161">
        <v>2027</v>
      </c>
      <c r="I161">
        <v>100</v>
      </c>
      <c r="K161" t="s">
        <v>77</v>
      </c>
    </row>
    <row r="162" spans="1:11" x14ac:dyDescent="0.25">
      <c r="A162" t="str">
        <f>_xlfn.CONCAT(VLOOKUP(B162,Indicateurs!$A:$B,2,0),"-",VLOOKUP(C162,Zones!$A:$B,2,0),"-",_xlfn.CONCAT(IF(K162&lt;&gt;"",VLOOKUP(K162,Desagregations!$A:$B,2,0),""),IF(L162&lt;&gt;"","_",""),IF(L162&lt;&gt;"",VLOOKUP(L162,Desagregations!$A:$B,2,0),""),IF(M162&lt;&gt;"","_",""),IF(M162&lt;&gt;"",VLOOKUP(M162,Desagregations!$A:$B,2,0),""),IF(N162&lt;&gt;"","_",""),IF(N162&lt;&gt;"",VLOOKUP(N162,Desagregations!$A:$B,2,0),""),IF(O162&lt;&gt;"","_",""),IF(O162&lt;&gt;"",VLOOKUP(O162,Desagregations!$A:$B,2,0),""),IF(P162&lt;&gt;"","_",""),IF(P162&lt;&gt;"",VLOOKUP(P162,Desagregations!$A:$B,2,0),"")),"-",VLOOKUP(D162,Unites!$A:$B,2,0),"-",VLOOKUP(E162,Sources!$A:$B,2,0),"-",VLOOKUP(F162,CommentaireValeurIndicateurs!$A:$B,2,0),"-",VLOOKUP(G162,NatureDonnees!$A:$B,2,0),"-",VLOOKUP(H162,Periodes!$A:$B,2,0))</f>
        <v>1264-1-6-4-10-3-1-28</v>
      </c>
      <c r="B162" s="2" t="s">
        <v>20</v>
      </c>
      <c r="C162" s="4" t="s">
        <v>136</v>
      </c>
      <c r="D162" t="s">
        <v>125</v>
      </c>
      <c r="E162" t="s">
        <v>84</v>
      </c>
      <c r="F162" s="4" t="s">
        <v>399</v>
      </c>
      <c r="G162" s="4" t="s">
        <v>400</v>
      </c>
      <c r="H162">
        <v>2027</v>
      </c>
      <c r="I162">
        <v>45</v>
      </c>
      <c r="K162" t="s">
        <v>77</v>
      </c>
    </row>
    <row r="163" spans="1:11" x14ac:dyDescent="0.25">
      <c r="A163" t="str">
        <f>_xlfn.CONCAT(VLOOKUP(B163,Indicateurs!$A:$B,2,0),"-",VLOOKUP(C163,Zones!$A:$B,2,0),"-",_xlfn.CONCAT(IF(K163&lt;&gt;"",VLOOKUP(K163,Desagregations!$A:$B,2,0),""),IF(L163&lt;&gt;"","_",""),IF(L163&lt;&gt;"",VLOOKUP(L163,Desagregations!$A:$B,2,0),""),IF(M163&lt;&gt;"","_",""),IF(M163&lt;&gt;"",VLOOKUP(M163,Desagregations!$A:$B,2,0),""),IF(N163&lt;&gt;"","_",""),IF(N163&lt;&gt;"",VLOOKUP(N163,Desagregations!$A:$B,2,0),""),IF(O163&lt;&gt;"","_",""),IF(O163&lt;&gt;"",VLOOKUP(O163,Desagregations!$A:$B,2,0),""),IF(P163&lt;&gt;"","_",""),IF(P163&lt;&gt;"",VLOOKUP(P163,Desagregations!$A:$B,2,0),"")),"-",VLOOKUP(D163,Unites!$A:$B,2,0),"-",VLOOKUP(E163,Sources!$A:$B,2,0),"-",VLOOKUP(F163,CommentaireValeurIndicateurs!$A:$B,2,0),"-",VLOOKUP(G163,NatureDonnees!$A:$B,2,0),"-",VLOOKUP(H163,Periodes!$A:$B,2,0))</f>
        <v>1265-1-6-4-14-3-1-28</v>
      </c>
      <c r="B163" s="2" t="s">
        <v>21</v>
      </c>
      <c r="C163" s="4" t="s">
        <v>136</v>
      </c>
      <c r="D163" t="s">
        <v>125</v>
      </c>
      <c r="E163" t="s">
        <v>88</v>
      </c>
      <c r="F163" s="4" t="s">
        <v>399</v>
      </c>
      <c r="G163" s="4" t="s">
        <v>400</v>
      </c>
      <c r="H163">
        <v>2027</v>
      </c>
      <c r="I163">
        <v>90</v>
      </c>
      <c r="K163" t="s">
        <v>77</v>
      </c>
    </row>
    <row r="164" spans="1:11" x14ac:dyDescent="0.25">
      <c r="A164" t="str">
        <f>_xlfn.CONCAT(VLOOKUP(B164,Indicateurs!$A:$B,2,0),"-",VLOOKUP(C164,Zones!$A:$B,2,0),"-",_xlfn.CONCAT(IF(K164&lt;&gt;"",VLOOKUP(K164,Desagregations!$A:$B,2,0),""),IF(L164&lt;&gt;"","_",""),IF(L164&lt;&gt;"",VLOOKUP(L164,Desagregations!$A:$B,2,0),""),IF(M164&lt;&gt;"","_",""),IF(M164&lt;&gt;"",VLOOKUP(M164,Desagregations!$A:$B,2,0),""),IF(N164&lt;&gt;"","_",""),IF(N164&lt;&gt;"",VLOOKUP(N164,Desagregations!$A:$B,2,0),""),IF(O164&lt;&gt;"","_",""),IF(O164&lt;&gt;"",VLOOKUP(O164,Desagregations!$A:$B,2,0),""),IF(P164&lt;&gt;"","_",""),IF(P164&lt;&gt;"",VLOOKUP(P164,Desagregations!$A:$B,2,0),"")),"-",VLOOKUP(D164,Unites!$A:$B,2,0),"-",VLOOKUP(E164,Sources!$A:$B,2,0),"-",VLOOKUP(F164,CommentaireValeurIndicateurs!$A:$B,2,0),"-",VLOOKUP(G164,NatureDonnees!$A:$B,2,0),"-",VLOOKUP(H164,Periodes!$A:$B,2,0))</f>
        <v>1266-1-6-8-15-3-1-28</v>
      </c>
      <c r="B164" s="3" t="s">
        <v>22</v>
      </c>
      <c r="C164" s="4" t="s">
        <v>136</v>
      </c>
      <c r="D164" t="s">
        <v>129</v>
      </c>
      <c r="E164" t="s">
        <v>89</v>
      </c>
      <c r="F164" s="4" t="s">
        <v>399</v>
      </c>
      <c r="G164" s="4" t="s">
        <v>400</v>
      </c>
      <c r="H164">
        <v>2027</v>
      </c>
      <c r="I164">
        <v>100</v>
      </c>
      <c r="K164" t="s">
        <v>77</v>
      </c>
    </row>
    <row r="165" spans="1:11" x14ac:dyDescent="0.25">
      <c r="A165" t="str">
        <f>_xlfn.CONCAT(VLOOKUP(B165,Indicateurs!$A:$B,2,0),"-",VLOOKUP(C165,Zones!$A:$B,2,0),"-",_xlfn.CONCAT(IF(K165&lt;&gt;"",VLOOKUP(K165,Desagregations!$A:$B,2,0),""),IF(L165&lt;&gt;"","_",""),IF(L165&lt;&gt;"",VLOOKUP(L165,Desagregations!$A:$B,2,0),""),IF(M165&lt;&gt;"","_",""),IF(M165&lt;&gt;"",VLOOKUP(M165,Desagregations!$A:$B,2,0),""),IF(N165&lt;&gt;"","_",""),IF(N165&lt;&gt;"",VLOOKUP(N165,Desagregations!$A:$B,2,0),""),IF(O165&lt;&gt;"","_",""),IF(O165&lt;&gt;"",VLOOKUP(O165,Desagregations!$A:$B,2,0),""),IF(P165&lt;&gt;"","_",""),IF(P165&lt;&gt;"",VLOOKUP(P165,Desagregations!$A:$B,2,0),"")),"-",VLOOKUP(D165,Unites!$A:$B,2,0),"-",VLOOKUP(E165,Sources!$A:$B,2,0),"-",VLOOKUP(F165,CommentaireValeurIndicateurs!$A:$B,2,0),"-",VLOOKUP(G165,NatureDonnees!$A:$B,2,0),"-",VLOOKUP(H165,Periodes!$A:$B,2,0))</f>
        <v>1267-1-6-4-16-3-1-28</v>
      </c>
      <c r="B165" s="2" t="s">
        <v>23</v>
      </c>
      <c r="C165" s="4" t="s">
        <v>136</v>
      </c>
      <c r="D165" t="s">
        <v>125</v>
      </c>
      <c r="E165" t="s">
        <v>90</v>
      </c>
      <c r="F165" s="4" t="s">
        <v>399</v>
      </c>
      <c r="G165" s="4" t="s">
        <v>400</v>
      </c>
      <c r="H165">
        <v>2027</v>
      </c>
      <c r="I165">
        <v>6.5</v>
      </c>
      <c r="K165" t="s">
        <v>77</v>
      </c>
    </row>
    <row r="166" spans="1:11" x14ac:dyDescent="0.25">
      <c r="A166" t="str">
        <f>_xlfn.CONCAT(VLOOKUP(B166,Indicateurs!$A:$B,2,0),"-",VLOOKUP(C166,Zones!$A:$B,2,0),"-",_xlfn.CONCAT(IF(K166&lt;&gt;"",VLOOKUP(K166,Desagregations!$A:$B,2,0),""),IF(L166&lt;&gt;"","_",""),IF(L166&lt;&gt;"",VLOOKUP(L166,Desagregations!$A:$B,2,0),""),IF(M166&lt;&gt;"","_",""),IF(M166&lt;&gt;"",VLOOKUP(M166,Desagregations!$A:$B,2,0),""),IF(N166&lt;&gt;"","_",""),IF(N166&lt;&gt;"",VLOOKUP(N166,Desagregations!$A:$B,2,0),""),IF(O166&lt;&gt;"","_",""),IF(O166&lt;&gt;"",VLOOKUP(O166,Desagregations!$A:$B,2,0),""),IF(P166&lt;&gt;"","_",""),IF(P166&lt;&gt;"",VLOOKUP(P166,Desagregations!$A:$B,2,0),"")),"-",VLOOKUP(D166,Unites!$A:$B,2,0),"-",VLOOKUP(E166,Sources!$A:$B,2,0),"-",VLOOKUP(F166,CommentaireValeurIndicateurs!$A:$B,2,0),"-",VLOOKUP(G166,NatureDonnees!$A:$B,2,0),"-",VLOOKUP(H166,Periodes!$A:$B,2,0))</f>
        <v>1268-1-6-9-4-3-1-28</v>
      </c>
      <c r="B166" s="2" t="s">
        <v>24</v>
      </c>
      <c r="C166" s="4" t="s">
        <v>136</v>
      </c>
      <c r="D166" t="s">
        <v>130</v>
      </c>
      <c r="E166" t="s">
        <v>78</v>
      </c>
      <c r="F166" s="4" t="s">
        <v>399</v>
      </c>
      <c r="G166" s="4" t="s">
        <v>400</v>
      </c>
      <c r="H166">
        <v>2027</v>
      </c>
      <c r="I166">
        <v>0.29399999999999998</v>
      </c>
      <c r="K166" t="s">
        <v>77</v>
      </c>
    </row>
    <row r="167" spans="1:11" x14ac:dyDescent="0.25">
      <c r="A167" t="str">
        <f>_xlfn.CONCAT(VLOOKUP(B167,Indicateurs!$A:$B,2,0),"-",VLOOKUP(C167,Zones!$A:$B,2,0),"-",_xlfn.CONCAT(IF(K167&lt;&gt;"",VLOOKUP(K167,Desagregations!$A:$B,2,0),""),IF(L167&lt;&gt;"","_",""),IF(L167&lt;&gt;"",VLOOKUP(L167,Desagregations!$A:$B,2,0),""),IF(M167&lt;&gt;"","_",""),IF(M167&lt;&gt;"",VLOOKUP(M167,Desagregations!$A:$B,2,0),""),IF(N167&lt;&gt;"","_",""),IF(N167&lt;&gt;"",VLOOKUP(N167,Desagregations!$A:$B,2,0),""),IF(O167&lt;&gt;"","_",""),IF(O167&lt;&gt;"",VLOOKUP(O167,Desagregations!$A:$B,2,0),""),IF(P167&lt;&gt;"","_",""),IF(P167&lt;&gt;"",VLOOKUP(P167,Desagregations!$A:$B,2,0),"")),"-",VLOOKUP(D167,Unites!$A:$B,2,0),"-",VLOOKUP(E167,Sources!$A:$B,2,0),"-",VLOOKUP(F167,CommentaireValeurIndicateurs!$A:$B,2,0),"-",VLOOKUP(G167,NatureDonnees!$A:$B,2,0),"-",VLOOKUP(H167,Periodes!$A:$B,2,0))</f>
        <v>1269-1-6-4-17-3-1-28</v>
      </c>
      <c r="B167" s="2" t="s">
        <v>25</v>
      </c>
      <c r="C167" s="4" t="s">
        <v>136</v>
      </c>
      <c r="D167" t="s">
        <v>125</v>
      </c>
      <c r="E167" t="s">
        <v>91</v>
      </c>
      <c r="F167" s="4" t="s">
        <v>399</v>
      </c>
      <c r="G167" s="4" t="s">
        <v>400</v>
      </c>
      <c r="H167">
        <v>2027</v>
      </c>
      <c r="I167">
        <v>94</v>
      </c>
      <c r="K167" t="s">
        <v>77</v>
      </c>
    </row>
    <row r="168" spans="1:11" x14ac:dyDescent="0.25">
      <c r="A168" t="str">
        <f>_xlfn.CONCAT(VLOOKUP(B168,Indicateurs!$A:$B,2,0),"-",VLOOKUP(C168,Zones!$A:$B,2,0),"-",_xlfn.CONCAT(IF(K168&lt;&gt;"",VLOOKUP(K168,Desagregations!$A:$B,2,0),""),IF(L168&lt;&gt;"","_",""),IF(L168&lt;&gt;"",VLOOKUP(L168,Desagregations!$A:$B,2,0),""),IF(M168&lt;&gt;"","_",""),IF(M168&lt;&gt;"",VLOOKUP(M168,Desagregations!$A:$B,2,0),""),IF(N168&lt;&gt;"","_",""),IF(N168&lt;&gt;"",VLOOKUP(N168,Desagregations!$A:$B,2,0),""),IF(O168&lt;&gt;"","_",""),IF(O168&lt;&gt;"",VLOOKUP(O168,Desagregations!$A:$B,2,0),""),IF(P168&lt;&gt;"","_",""),IF(P168&lt;&gt;"",VLOOKUP(P168,Desagregations!$A:$B,2,0),"")),"-",VLOOKUP(D168,Unites!$A:$B,2,0),"-",VLOOKUP(E168,Sources!$A:$B,2,0),"-",VLOOKUP(F168,CommentaireValeurIndicateurs!$A:$B,2,0),"-",VLOOKUP(G168,NatureDonnees!$A:$B,2,0),"-",VLOOKUP(H168,Periodes!$A:$B,2,0))</f>
        <v>1270-1-6-4-18-3-1-28</v>
      </c>
      <c r="B168" s="2" t="s">
        <v>26</v>
      </c>
      <c r="C168" s="4" t="s">
        <v>136</v>
      </c>
      <c r="D168" t="s">
        <v>125</v>
      </c>
      <c r="E168" t="s">
        <v>92</v>
      </c>
      <c r="F168" s="4" t="s">
        <v>399</v>
      </c>
      <c r="G168" s="4" t="s">
        <v>400</v>
      </c>
      <c r="H168">
        <v>2027</v>
      </c>
      <c r="I168">
        <v>85</v>
      </c>
      <c r="K168" t="s">
        <v>77</v>
      </c>
    </row>
    <row r="169" spans="1:11" x14ac:dyDescent="0.25">
      <c r="A169" t="str">
        <f>_xlfn.CONCAT(VLOOKUP(B169,Indicateurs!$A:$B,2,0),"-",VLOOKUP(C169,Zones!$A:$B,2,0),"-",_xlfn.CONCAT(IF(K169&lt;&gt;"",VLOOKUP(K169,Desagregations!$A:$B,2,0),""),IF(L169&lt;&gt;"","_",""),IF(L169&lt;&gt;"",VLOOKUP(L169,Desagregations!$A:$B,2,0),""),IF(M169&lt;&gt;"","_",""),IF(M169&lt;&gt;"",VLOOKUP(M169,Desagregations!$A:$B,2,0),""),IF(N169&lt;&gt;"","_",""),IF(N169&lt;&gt;"",VLOOKUP(N169,Desagregations!$A:$B,2,0),""),IF(O169&lt;&gt;"","_",""),IF(O169&lt;&gt;"",VLOOKUP(O169,Desagregations!$A:$B,2,0),""),IF(P169&lt;&gt;"","_",""),IF(P169&lt;&gt;"",VLOOKUP(P169,Desagregations!$A:$B,2,0),"")),"-",VLOOKUP(D169,Unites!$A:$B,2,0),"-",VLOOKUP(E169,Sources!$A:$B,2,0),"-",VLOOKUP(F169,CommentaireValeurIndicateurs!$A:$B,2,0),"-",VLOOKUP(G169,NatureDonnees!$A:$B,2,0),"-",VLOOKUP(H169,Periodes!$A:$B,2,0))</f>
        <v>1271-1-6-4-19-3-1-28</v>
      </c>
      <c r="B169" s="3" t="s">
        <v>27</v>
      </c>
      <c r="C169" s="4" t="s">
        <v>136</v>
      </c>
      <c r="D169" t="s">
        <v>125</v>
      </c>
      <c r="E169" t="s">
        <v>93</v>
      </c>
      <c r="F169" s="4" t="s">
        <v>399</v>
      </c>
      <c r="G169" s="4" t="s">
        <v>400</v>
      </c>
      <c r="H169">
        <v>2027</v>
      </c>
      <c r="I169">
        <v>9.3000000000000007</v>
      </c>
      <c r="K169" t="s">
        <v>77</v>
      </c>
    </row>
    <row r="170" spans="1:11" x14ac:dyDescent="0.25">
      <c r="A170" t="e">
        <f>_xlfn.CONCAT(VLOOKUP(B170,Indicateurs!$A:$B,2,0),"-",VLOOKUP(C170,Zones!$A:$B,2,0),"-",_xlfn.CONCAT(IF(K170&lt;&gt;"",VLOOKUP(K170,Desagregations!$A:$B,2,0),""),IF(L170&lt;&gt;"","_",""),IF(L170&lt;&gt;"",VLOOKUP(L170,Desagregations!$A:$B,2,0),""),IF(M170&lt;&gt;"","_",""),IF(M170&lt;&gt;"",VLOOKUP(M170,Desagregations!$A:$B,2,0),""),IF(N170&lt;&gt;"","_",""),IF(N170&lt;&gt;"",VLOOKUP(N170,Desagregations!$A:$B,2,0),""),IF(O170&lt;&gt;"","_",""),IF(O170&lt;&gt;"",VLOOKUP(O170,Desagregations!$A:$B,2,0),""),IF(P170&lt;&gt;"","_",""),IF(P170&lt;&gt;"",VLOOKUP(P170,Desagregations!$A:$B,2,0),"")),"-",VLOOKUP(D170,Unites!$A:$B,2,0),"-",VLOOKUP(E170,Sources!$A:$B,2,0),"-",VLOOKUP(F170,CommentaireValeurIndicateurs!$A:$B,2,0),"-",VLOOKUP(G170,NatureDonnees!$A:$B,2,0),"-",VLOOKUP(H170,Periodes!$A:$B,2,0))</f>
        <v>#N/A</v>
      </c>
      <c r="B170" s="5" t="s">
        <v>28</v>
      </c>
      <c r="C170" s="4" t="s">
        <v>136</v>
      </c>
      <c r="D170" t="s">
        <v>125</v>
      </c>
      <c r="E170" s="4" t="s">
        <v>94</v>
      </c>
      <c r="F170" s="4" t="s">
        <v>399</v>
      </c>
      <c r="G170" s="4" t="s">
        <v>400</v>
      </c>
      <c r="K170" t="s">
        <v>77</v>
      </c>
    </row>
    <row r="171" spans="1:11" x14ac:dyDescent="0.25">
      <c r="A171" t="str">
        <f>_xlfn.CONCAT(VLOOKUP(B171,Indicateurs!$A:$B,2,0),"-",VLOOKUP(C171,Zones!$A:$B,2,0),"-",_xlfn.CONCAT(IF(K171&lt;&gt;"",VLOOKUP(K171,Desagregations!$A:$B,2,0),""),IF(L171&lt;&gt;"","_",""),IF(L171&lt;&gt;"",VLOOKUP(L171,Desagregations!$A:$B,2,0),""),IF(M171&lt;&gt;"","_",""),IF(M171&lt;&gt;"",VLOOKUP(M171,Desagregations!$A:$B,2,0),""),IF(N171&lt;&gt;"","_",""),IF(N171&lt;&gt;"",VLOOKUP(N171,Desagregations!$A:$B,2,0),""),IF(O171&lt;&gt;"","_",""),IF(O171&lt;&gt;"",VLOOKUP(O171,Desagregations!$A:$B,2,0),""),IF(P171&lt;&gt;"","_",""),IF(P171&lt;&gt;"",VLOOKUP(P171,Desagregations!$A:$B,2,0),"")),"-",VLOOKUP(D171,Unites!$A:$B,2,0),"-",VLOOKUP(E171,Sources!$A:$B,2,0),"-",VLOOKUP(F171,CommentaireValeurIndicateurs!$A:$B,2,0),"-",VLOOKUP(G171,NatureDonnees!$A:$B,2,0),"-",VLOOKUP(H171,Periodes!$A:$B,2,0))</f>
        <v>1273-1-6-4-21-3-1-28</v>
      </c>
      <c r="B171" s="2" t="s">
        <v>29</v>
      </c>
      <c r="C171" s="4" t="s">
        <v>136</v>
      </c>
      <c r="D171" t="s">
        <v>125</v>
      </c>
      <c r="E171" t="s">
        <v>95</v>
      </c>
      <c r="F171" s="4" t="s">
        <v>399</v>
      </c>
      <c r="G171" s="4" t="s">
        <v>400</v>
      </c>
      <c r="H171">
        <v>2027</v>
      </c>
      <c r="I171">
        <v>7.9</v>
      </c>
      <c r="K171" t="s">
        <v>77</v>
      </c>
    </row>
    <row r="172" spans="1:11" x14ac:dyDescent="0.25">
      <c r="A172" t="str">
        <f>_xlfn.CONCAT(VLOOKUP(B172,Indicateurs!$A:$B,2,0),"-",VLOOKUP(C172,Zones!$A:$B,2,0),"-",_xlfn.CONCAT(IF(K172&lt;&gt;"",VLOOKUP(K172,Desagregations!$A:$B,2,0),""),IF(L172&lt;&gt;"","_",""),IF(L172&lt;&gt;"",VLOOKUP(L172,Desagregations!$A:$B,2,0),""),IF(M172&lt;&gt;"","_",""),IF(M172&lt;&gt;"",VLOOKUP(M172,Desagregations!$A:$B,2,0),""),IF(N172&lt;&gt;"","_",""),IF(N172&lt;&gt;"",VLOOKUP(N172,Desagregations!$A:$B,2,0),""),IF(O172&lt;&gt;"","_",""),IF(O172&lt;&gt;"",VLOOKUP(O172,Desagregations!$A:$B,2,0),""),IF(P172&lt;&gt;"","_",""),IF(P172&lt;&gt;"",VLOOKUP(P172,Desagregations!$A:$B,2,0),"")),"-",VLOOKUP(D172,Unites!$A:$B,2,0),"-",VLOOKUP(E172,Sources!$A:$B,2,0),"-",VLOOKUP(F172,CommentaireValeurIndicateurs!$A:$B,2,0),"-",VLOOKUP(G172,NatureDonnees!$A:$B,2,0),"-",VLOOKUP(H172,Periodes!$A:$B,2,0))</f>
        <v>1274-1-6-4-16-3-1-28</v>
      </c>
      <c r="B172" s="2" t="s">
        <v>30</v>
      </c>
      <c r="C172" s="4" t="s">
        <v>136</v>
      </c>
      <c r="D172" t="s">
        <v>125</v>
      </c>
      <c r="E172" t="s">
        <v>90</v>
      </c>
      <c r="F172" s="4" t="s">
        <v>399</v>
      </c>
      <c r="G172" s="4" t="s">
        <v>400</v>
      </c>
      <c r="H172">
        <v>2027</v>
      </c>
      <c r="I172">
        <v>29.91</v>
      </c>
      <c r="K172" t="s">
        <v>77</v>
      </c>
    </row>
    <row r="173" spans="1:11" x14ac:dyDescent="0.25">
      <c r="A173" t="str">
        <f>_xlfn.CONCAT(VLOOKUP(B173,Indicateurs!$A:$B,2,0),"-",VLOOKUP(C173,Zones!$A:$B,2,0),"-",_xlfn.CONCAT(IF(K173&lt;&gt;"",VLOOKUP(K173,Desagregations!$A:$B,2,0),""),IF(L173&lt;&gt;"","_",""),IF(L173&lt;&gt;"",VLOOKUP(L173,Desagregations!$A:$B,2,0),""),IF(M173&lt;&gt;"","_",""),IF(M173&lt;&gt;"",VLOOKUP(M173,Desagregations!$A:$B,2,0),""),IF(N173&lt;&gt;"","_",""),IF(N173&lt;&gt;"",VLOOKUP(N173,Desagregations!$A:$B,2,0),""),IF(O173&lt;&gt;"","_",""),IF(O173&lt;&gt;"",VLOOKUP(O173,Desagregations!$A:$B,2,0),""),IF(P173&lt;&gt;"","_",""),IF(P173&lt;&gt;"",VLOOKUP(P173,Desagregations!$A:$B,2,0),"")),"-",VLOOKUP(D173,Unites!$A:$B,2,0),"-",VLOOKUP(E173,Sources!$A:$B,2,0),"-",VLOOKUP(F173,CommentaireValeurIndicateurs!$A:$B,2,0),"-",VLOOKUP(G173,NatureDonnees!$A:$B,2,0),"-",VLOOKUP(H173,Periodes!$A:$B,2,0))</f>
        <v>1275-1-6-4-22-3-1-28</v>
      </c>
      <c r="B173" s="2" t="s">
        <v>31</v>
      </c>
      <c r="C173" s="4" t="s">
        <v>136</v>
      </c>
      <c r="D173" t="s">
        <v>125</v>
      </c>
      <c r="E173" t="s">
        <v>96</v>
      </c>
      <c r="F173" s="4" t="s">
        <v>399</v>
      </c>
      <c r="G173" s="4" t="s">
        <v>400</v>
      </c>
      <c r="H173">
        <v>2027</v>
      </c>
      <c r="I173">
        <v>49</v>
      </c>
      <c r="K173" t="s">
        <v>77</v>
      </c>
    </row>
    <row r="174" spans="1:11" x14ac:dyDescent="0.25">
      <c r="A174" t="str">
        <f>_xlfn.CONCAT(VLOOKUP(B174,Indicateurs!$A:$B,2,0),"-",VLOOKUP(C174,Zones!$A:$B,2,0),"-",_xlfn.CONCAT(IF(K174&lt;&gt;"",VLOOKUP(K174,Desagregations!$A:$B,2,0),""),IF(L174&lt;&gt;"","_",""),IF(L174&lt;&gt;"",VLOOKUP(L174,Desagregations!$A:$B,2,0),""),IF(M174&lt;&gt;"","_",""),IF(M174&lt;&gt;"",VLOOKUP(M174,Desagregations!$A:$B,2,0),""),IF(N174&lt;&gt;"","_",""),IF(N174&lt;&gt;"",VLOOKUP(N174,Desagregations!$A:$B,2,0),""),IF(O174&lt;&gt;"","_",""),IF(O174&lt;&gt;"",VLOOKUP(O174,Desagregations!$A:$B,2,0),""),IF(P174&lt;&gt;"","_",""),IF(P174&lt;&gt;"",VLOOKUP(P174,Desagregations!$A:$B,2,0),"")),"-",VLOOKUP(D174,Unites!$A:$B,2,0),"-",VLOOKUP(E174,Sources!$A:$B,2,0),"-",VLOOKUP(F174,CommentaireValeurIndicateurs!$A:$B,2,0),"-",VLOOKUP(G174,NatureDonnees!$A:$B,2,0),"-",VLOOKUP(H174,Periodes!$A:$B,2,0))</f>
        <v>1276-1-6-4-22-3-1-28</v>
      </c>
      <c r="B174" s="3" t="s">
        <v>32</v>
      </c>
      <c r="C174" s="4" t="s">
        <v>136</v>
      </c>
      <c r="D174" t="s">
        <v>125</v>
      </c>
      <c r="E174" t="s">
        <v>96</v>
      </c>
      <c r="F174" s="4" t="s">
        <v>399</v>
      </c>
      <c r="G174" s="4" t="s">
        <v>400</v>
      </c>
      <c r="H174">
        <v>2027</v>
      </c>
      <c r="I174">
        <v>8</v>
      </c>
      <c r="K174" t="s">
        <v>77</v>
      </c>
    </row>
    <row r="175" spans="1:11" x14ac:dyDescent="0.25">
      <c r="A175" t="str">
        <f>_xlfn.CONCAT(VLOOKUP(B175,Indicateurs!$A:$B,2,0),"-",VLOOKUP(C175,Zones!$A:$B,2,0),"-",_xlfn.CONCAT(IF(K175&lt;&gt;"",VLOOKUP(K175,Desagregations!$A:$B,2,0),""),IF(L175&lt;&gt;"","_",""),IF(L175&lt;&gt;"",VLOOKUP(L175,Desagregations!$A:$B,2,0),""),IF(M175&lt;&gt;"","_",""),IF(M175&lt;&gt;"",VLOOKUP(M175,Desagregations!$A:$B,2,0),""),IF(N175&lt;&gt;"","_",""),IF(N175&lt;&gt;"",VLOOKUP(N175,Desagregations!$A:$B,2,0),""),IF(O175&lt;&gt;"","_",""),IF(O175&lt;&gt;"",VLOOKUP(O175,Desagregations!$A:$B,2,0),""),IF(P175&lt;&gt;"","_",""),IF(P175&lt;&gt;"",VLOOKUP(P175,Desagregations!$A:$B,2,0),"")),"-",VLOOKUP(D175,Unites!$A:$B,2,0),"-",VLOOKUP(E175,Sources!$A:$B,2,0),"-",VLOOKUP(F175,CommentaireValeurIndicateurs!$A:$B,2,0),"-",VLOOKUP(G175,NatureDonnees!$A:$B,2,0),"-",VLOOKUP(H175,Periodes!$A:$B,2,0))</f>
        <v>1277-1-6-4-22-3-1-28</v>
      </c>
      <c r="B175" s="3" t="s">
        <v>33</v>
      </c>
      <c r="C175" s="4" t="s">
        <v>136</v>
      </c>
      <c r="D175" t="s">
        <v>125</v>
      </c>
      <c r="E175" t="s">
        <v>96</v>
      </c>
      <c r="F175" s="4" t="s">
        <v>399</v>
      </c>
      <c r="G175" s="4" t="s">
        <v>400</v>
      </c>
      <c r="H175">
        <v>2027</v>
      </c>
      <c r="I175">
        <v>4</v>
      </c>
      <c r="K175" t="s">
        <v>77</v>
      </c>
    </row>
    <row r="176" spans="1:11" x14ac:dyDescent="0.25">
      <c r="A176" t="str">
        <f>_xlfn.CONCAT(VLOOKUP(B176,Indicateurs!$A:$B,2,0),"-",VLOOKUP(C176,Zones!$A:$B,2,0),"-",_xlfn.CONCAT(IF(K176&lt;&gt;"",VLOOKUP(K176,Desagregations!$A:$B,2,0),""),IF(L176&lt;&gt;"","_",""),IF(L176&lt;&gt;"",VLOOKUP(L176,Desagregations!$A:$B,2,0),""),IF(M176&lt;&gt;"","_",""),IF(M176&lt;&gt;"",VLOOKUP(M176,Desagregations!$A:$B,2,0),""),IF(N176&lt;&gt;"","_",""),IF(N176&lt;&gt;"",VLOOKUP(N176,Desagregations!$A:$B,2,0),""),IF(O176&lt;&gt;"","_",""),IF(O176&lt;&gt;"",VLOOKUP(O176,Desagregations!$A:$B,2,0),""),IF(P176&lt;&gt;"","_",""),IF(P176&lt;&gt;"",VLOOKUP(P176,Desagregations!$A:$B,2,0),"")),"-",VLOOKUP(D176,Unites!$A:$B,2,0),"-",VLOOKUP(E176,Sources!$A:$B,2,0),"-",VLOOKUP(F176,CommentaireValeurIndicateurs!$A:$B,2,0),"-",VLOOKUP(G176,NatureDonnees!$A:$B,2,0),"-",VLOOKUP(H176,Periodes!$A:$B,2,0))</f>
        <v>1278-1-6-4-16-3-1-28</v>
      </c>
      <c r="B176" s="2" t="s">
        <v>34</v>
      </c>
      <c r="C176" s="4" t="s">
        <v>136</v>
      </c>
      <c r="D176" t="s">
        <v>125</v>
      </c>
      <c r="E176" t="s">
        <v>90</v>
      </c>
      <c r="F176" s="4" t="s">
        <v>399</v>
      </c>
      <c r="G176" s="4" t="s">
        <v>400</v>
      </c>
      <c r="H176">
        <v>2027</v>
      </c>
      <c r="I176">
        <v>6.8</v>
      </c>
      <c r="K176" t="s">
        <v>77</v>
      </c>
    </row>
    <row r="177" spans="1:11" x14ac:dyDescent="0.25">
      <c r="A177" t="str">
        <f>_xlfn.CONCAT(VLOOKUP(B177,Indicateurs!$A:$B,2,0),"-",VLOOKUP(C177,Zones!$A:$B,2,0),"-",_xlfn.CONCAT(IF(K177&lt;&gt;"",VLOOKUP(K177,Desagregations!$A:$B,2,0),""),IF(L177&lt;&gt;"","_",""),IF(L177&lt;&gt;"",VLOOKUP(L177,Desagregations!$A:$B,2,0),""),IF(M177&lt;&gt;"","_",""),IF(M177&lt;&gt;"",VLOOKUP(M177,Desagregations!$A:$B,2,0),""),IF(N177&lt;&gt;"","_",""),IF(N177&lt;&gt;"",VLOOKUP(N177,Desagregations!$A:$B,2,0),""),IF(O177&lt;&gt;"","_",""),IF(O177&lt;&gt;"",VLOOKUP(O177,Desagregations!$A:$B,2,0),""),IF(P177&lt;&gt;"","_",""),IF(P177&lt;&gt;"",VLOOKUP(P177,Desagregations!$A:$B,2,0),"")),"-",VLOOKUP(D177,Unites!$A:$B,2,0),"-",VLOOKUP(E177,Sources!$A:$B,2,0),"-",VLOOKUP(F177,CommentaireValeurIndicateurs!$A:$B,2,0),"-",VLOOKUP(G177,NatureDonnees!$A:$B,2,0),"-",VLOOKUP(H177,Periodes!$A:$B,2,0))</f>
        <v>1279-1-6-4-23-3-1-28</v>
      </c>
      <c r="B177" s="2" t="s">
        <v>35</v>
      </c>
      <c r="C177" s="4" t="s">
        <v>136</v>
      </c>
      <c r="D177" t="s">
        <v>125</v>
      </c>
      <c r="E177" t="s">
        <v>97</v>
      </c>
      <c r="F177" s="4" t="s">
        <v>399</v>
      </c>
      <c r="G177" s="4" t="s">
        <v>400</v>
      </c>
      <c r="H177">
        <v>2027</v>
      </c>
      <c r="I177">
        <v>42.7</v>
      </c>
      <c r="K177" t="s">
        <v>77</v>
      </c>
    </row>
    <row r="178" spans="1:11" x14ac:dyDescent="0.25">
      <c r="A178" t="str">
        <f>_xlfn.CONCAT(VLOOKUP(B178,Indicateurs!$A:$B,2,0),"-",VLOOKUP(C178,Zones!$A:$B,2,0),"-",_xlfn.CONCAT(IF(K178&lt;&gt;"",VLOOKUP(K178,Desagregations!$A:$B,2,0),""),IF(L178&lt;&gt;"","_",""),IF(L178&lt;&gt;"",VLOOKUP(L178,Desagregations!$A:$B,2,0),""),IF(M178&lt;&gt;"","_",""),IF(M178&lt;&gt;"",VLOOKUP(M178,Desagregations!$A:$B,2,0),""),IF(N178&lt;&gt;"","_",""),IF(N178&lt;&gt;"",VLOOKUP(N178,Desagregations!$A:$B,2,0),""),IF(O178&lt;&gt;"","_",""),IF(O178&lt;&gt;"",VLOOKUP(O178,Desagregations!$A:$B,2,0),""),IF(P178&lt;&gt;"","_",""),IF(P178&lt;&gt;"",VLOOKUP(P178,Desagregations!$A:$B,2,0),"")),"-",VLOOKUP(D178,Unites!$A:$B,2,0),"-",VLOOKUP(E178,Sources!$A:$B,2,0),"-",VLOOKUP(F178,CommentaireValeurIndicateurs!$A:$B,2,0),"-",VLOOKUP(G178,NatureDonnees!$A:$B,2,0),"-",VLOOKUP(H178,Periodes!$A:$B,2,0))</f>
        <v>1280-1-6-4-24-3-1-28</v>
      </c>
      <c r="B178" s="2" t="s">
        <v>36</v>
      </c>
      <c r="C178" s="4" t="s">
        <v>136</v>
      </c>
      <c r="D178" t="s">
        <v>125</v>
      </c>
      <c r="E178" t="s">
        <v>98</v>
      </c>
      <c r="F178" s="4" t="s">
        <v>399</v>
      </c>
      <c r="G178" s="4" t="s">
        <v>400</v>
      </c>
      <c r="H178">
        <v>2027</v>
      </c>
      <c r="I178">
        <v>19.600000000000001</v>
      </c>
      <c r="K178" t="s">
        <v>77</v>
      </c>
    </row>
    <row r="179" spans="1:11" x14ac:dyDescent="0.25">
      <c r="A179" t="str">
        <f>_xlfn.CONCAT(VLOOKUP(B179,Indicateurs!$A:$B,2,0),"-",VLOOKUP(C179,Zones!$A:$B,2,0),"-",_xlfn.CONCAT(IF(K179&lt;&gt;"",VLOOKUP(K179,Desagregations!$A:$B,2,0),""),IF(L179&lt;&gt;"","_",""),IF(L179&lt;&gt;"",VLOOKUP(L179,Desagregations!$A:$B,2,0),""),IF(M179&lt;&gt;"","_",""),IF(M179&lt;&gt;"",VLOOKUP(M179,Desagregations!$A:$B,2,0),""),IF(N179&lt;&gt;"","_",""),IF(N179&lt;&gt;"",VLOOKUP(N179,Desagregations!$A:$B,2,0),""),IF(O179&lt;&gt;"","_",""),IF(O179&lt;&gt;"",VLOOKUP(O179,Desagregations!$A:$B,2,0),""),IF(P179&lt;&gt;"","_",""),IF(P179&lt;&gt;"",VLOOKUP(P179,Desagregations!$A:$B,2,0),"")),"-",VLOOKUP(D179,Unites!$A:$B,2,0),"-",VLOOKUP(E179,Sources!$A:$B,2,0),"-",VLOOKUP(F179,CommentaireValeurIndicateurs!$A:$B,2,0),"-",VLOOKUP(G179,NatureDonnees!$A:$B,2,0),"-",VLOOKUP(H179,Periodes!$A:$B,2,0))</f>
        <v>1281-1-6-4-25-3-1-28</v>
      </c>
      <c r="B179" s="2" t="s">
        <v>37</v>
      </c>
      <c r="C179" s="4" t="s">
        <v>136</v>
      </c>
      <c r="D179" t="s">
        <v>125</v>
      </c>
      <c r="E179" t="s">
        <v>99</v>
      </c>
      <c r="F179" s="4" t="s">
        <v>399</v>
      </c>
      <c r="G179" s="4" t="s">
        <v>400</v>
      </c>
      <c r="H179">
        <v>2027</v>
      </c>
      <c r="I179">
        <v>40</v>
      </c>
      <c r="K179" t="s">
        <v>77</v>
      </c>
    </row>
    <row r="180" spans="1:11" x14ac:dyDescent="0.25">
      <c r="A180" t="str">
        <f>_xlfn.CONCAT(VLOOKUP(B180,Indicateurs!$A:$B,2,0),"-",VLOOKUP(C180,Zones!$A:$B,2,0),"-",_xlfn.CONCAT(IF(K180&lt;&gt;"",VLOOKUP(K180,Desagregations!$A:$B,2,0),""),IF(L180&lt;&gt;"","_",""),IF(L180&lt;&gt;"",VLOOKUP(L180,Desagregations!$A:$B,2,0),""),IF(M180&lt;&gt;"","_",""),IF(M180&lt;&gt;"",VLOOKUP(M180,Desagregations!$A:$B,2,0),""),IF(N180&lt;&gt;"","_",""),IF(N180&lt;&gt;"",VLOOKUP(N180,Desagregations!$A:$B,2,0),""),IF(O180&lt;&gt;"","_",""),IF(O180&lt;&gt;"",VLOOKUP(O180,Desagregations!$A:$B,2,0),""),IF(P180&lt;&gt;"","_",""),IF(P180&lt;&gt;"",VLOOKUP(P180,Desagregations!$A:$B,2,0),"")),"-",VLOOKUP(D180,Unites!$A:$B,2,0),"-",VLOOKUP(E180,Sources!$A:$B,2,0),"-",VLOOKUP(F180,CommentaireValeurIndicateurs!$A:$B,2,0),"-",VLOOKUP(G180,NatureDonnees!$A:$B,2,0),"-",VLOOKUP(H180,Periodes!$A:$B,2,0))</f>
        <v>1282-1-6-4-25-3-1-28</v>
      </c>
      <c r="B180" s="2" t="s">
        <v>38</v>
      </c>
      <c r="C180" s="4" t="s">
        <v>136</v>
      </c>
      <c r="D180" t="s">
        <v>125</v>
      </c>
      <c r="E180" t="s">
        <v>99</v>
      </c>
      <c r="F180" s="4" t="s">
        <v>399</v>
      </c>
      <c r="G180" s="4" t="s">
        <v>400</v>
      </c>
      <c r="H180">
        <v>2027</v>
      </c>
      <c r="I180">
        <v>62</v>
      </c>
      <c r="K180" t="s">
        <v>77</v>
      </c>
    </row>
    <row r="181" spans="1:11" x14ac:dyDescent="0.25">
      <c r="A181" t="str">
        <f>_xlfn.CONCAT(VLOOKUP(B181,Indicateurs!$A:$B,2,0),"-",VLOOKUP(C181,Zones!$A:$B,2,0),"-",_xlfn.CONCAT(IF(K181&lt;&gt;"",VLOOKUP(K181,Desagregations!$A:$B,2,0),""),IF(L181&lt;&gt;"","_",""),IF(L181&lt;&gt;"",VLOOKUP(L181,Desagregations!$A:$B,2,0),""),IF(M181&lt;&gt;"","_",""),IF(M181&lt;&gt;"",VLOOKUP(M181,Desagregations!$A:$B,2,0),""),IF(N181&lt;&gt;"","_",""),IF(N181&lt;&gt;"",VLOOKUP(N181,Desagregations!$A:$B,2,0),""),IF(O181&lt;&gt;"","_",""),IF(O181&lt;&gt;"",VLOOKUP(O181,Desagregations!$A:$B,2,0),""),IF(P181&lt;&gt;"","_",""),IF(P181&lt;&gt;"",VLOOKUP(P181,Desagregations!$A:$B,2,0),"")),"-",VLOOKUP(D181,Unites!$A:$B,2,0),"-",VLOOKUP(E181,Sources!$A:$B,2,0),"-",VLOOKUP(F181,CommentaireValeurIndicateurs!$A:$B,2,0),"-",VLOOKUP(G181,NatureDonnees!$A:$B,2,0),"-",VLOOKUP(H181,Periodes!$A:$B,2,0))</f>
        <v>1283-1-6-4-26-3-1-28</v>
      </c>
      <c r="B181" s="2" t="s">
        <v>39</v>
      </c>
      <c r="C181" s="4" t="s">
        <v>136</v>
      </c>
      <c r="D181" t="s">
        <v>125</v>
      </c>
      <c r="E181" t="s">
        <v>100</v>
      </c>
      <c r="F181" s="4" t="s">
        <v>399</v>
      </c>
      <c r="G181" s="4" t="s">
        <v>400</v>
      </c>
      <c r="H181">
        <v>2027</v>
      </c>
      <c r="I181">
        <v>4.3</v>
      </c>
      <c r="K181" t="s">
        <v>77</v>
      </c>
    </row>
    <row r="182" spans="1:11" x14ac:dyDescent="0.25">
      <c r="A182" t="str">
        <f>_xlfn.CONCAT(VLOOKUP(B182,Indicateurs!$A:$B,2,0),"-",VLOOKUP(C182,Zones!$A:$B,2,0),"-",_xlfn.CONCAT(IF(K182&lt;&gt;"",VLOOKUP(K182,Desagregations!$A:$B,2,0),""),IF(L182&lt;&gt;"","_",""),IF(L182&lt;&gt;"",VLOOKUP(L182,Desagregations!$A:$B,2,0),""),IF(M182&lt;&gt;"","_",""),IF(M182&lt;&gt;"",VLOOKUP(M182,Desagregations!$A:$B,2,0),""),IF(N182&lt;&gt;"","_",""),IF(N182&lt;&gt;"",VLOOKUP(N182,Desagregations!$A:$B,2,0),""),IF(O182&lt;&gt;"","_",""),IF(O182&lt;&gt;"",VLOOKUP(O182,Desagregations!$A:$B,2,0),""),IF(P182&lt;&gt;"","_",""),IF(P182&lt;&gt;"",VLOOKUP(P182,Desagregations!$A:$B,2,0),"")),"-",VLOOKUP(D182,Unites!$A:$B,2,0),"-",VLOOKUP(E182,Sources!$A:$B,2,0),"-",VLOOKUP(F182,CommentaireValeurIndicateurs!$A:$B,2,0),"-",VLOOKUP(G182,NatureDonnees!$A:$B,2,0),"-",VLOOKUP(H182,Periodes!$A:$B,2,0))</f>
        <v>1284-1-6-4-26-3-1-28</v>
      </c>
      <c r="B182" s="2" t="s">
        <v>40</v>
      </c>
      <c r="C182" s="4" t="s">
        <v>136</v>
      </c>
      <c r="D182" t="s">
        <v>125</v>
      </c>
      <c r="E182" t="s">
        <v>100</v>
      </c>
      <c r="F182" s="4" t="s">
        <v>399</v>
      </c>
      <c r="G182" s="4" t="s">
        <v>400</v>
      </c>
      <c r="H182">
        <v>2027</v>
      </c>
      <c r="I182">
        <v>7.3</v>
      </c>
      <c r="K182" t="s">
        <v>77</v>
      </c>
    </row>
    <row r="183" spans="1:11" x14ac:dyDescent="0.25">
      <c r="A183" t="str">
        <f>_xlfn.CONCAT(VLOOKUP(B183,Indicateurs!$A:$B,2,0),"-",VLOOKUP(C183,Zones!$A:$B,2,0),"-",_xlfn.CONCAT(IF(K183&lt;&gt;"",VLOOKUP(K183,Desagregations!$A:$B,2,0),""),IF(L183&lt;&gt;"","_",""),IF(L183&lt;&gt;"",VLOOKUP(L183,Desagregations!$A:$B,2,0),""),IF(M183&lt;&gt;"","_",""),IF(M183&lt;&gt;"",VLOOKUP(M183,Desagregations!$A:$B,2,0),""),IF(N183&lt;&gt;"","_",""),IF(N183&lt;&gt;"",VLOOKUP(N183,Desagregations!$A:$B,2,0),""),IF(O183&lt;&gt;"","_",""),IF(O183&lt;&gt;"",VLOOKUP(O183,Desagregations!$A:$B,2,0),""),IF(P183&lt;&gt;"","_",""),IF(P183&lt;&gt;"",VLOOKUP(P183,Desagregations!$A:$B,2,0),"")),"-",VLOOKUP(D183,Unites!$A:$B,2,0),"-",VLOOKUP(E183,Sources!$A:$B,2,0),"-",VLOOKUP(F183,CommentaireValeurIndicateurs!$A:$B,2,0),"-",VLOOKUP(G183,NatureDonnees!$A:$B,2,0),"-",VLOOKUP(H183,Periodes!$A:$B,2,0))</f>
        <v>1285-1-6-4-27-3-1-28</v>
      </c>
      <c r="B183" s="2" t="s">
        <v>41</v>
      </c>
      <c r="C183" s="4" t="s">
        <v>136</v>
      </c>
      <c r="D183" t="s">
        <v>125</v>
      </c>
      <c r="E183" t="s">
        <v>101</v>
      </c>
      <c r="F183" s="4" t="s">
        <v>399</v>
      </c>
      <c r="G183" s="4" t="s">
        <v>400</v>
      </c>
      <c r="H183">
        <v>2027</v>
      </c>
      <c r="I183">
        <v>41.11</v>
      </c>
      <c r="K183" t="s">
        <v>77</v>
      </c>
    </row>
    <row r="184" spans="1:11" x14ac:dyDescent="0.25">
      <c r="A184" t="str">
        <f>_xlfn.CONCAT(VLOOKUP(B184,Indicateurs!$A:$B,2,0),"-",VLOOKUP(C184,Zones!$A:$B,2,0),"-",_xlfn.CONCAT(IF(K184&lt;&gt;"",VLOOKUP(K184,Desagregations!$A:$B,2,0),""),IF(L184&lt;&gt;"","_",""),IF(L184&lt;&gt;"",VLOOKUP(L184,Desagregations!$A:$B,2,0),""),IF(M184&lt;&gt;"","_",""),IF(M184&lt;&gt;"",VLOOKUP(M184,Desagregations!$A:$B,2,0),""),IF(N184&lt;&gt;"","_",""),IF(N184&lt;&gt;"",VLOOKUP(N184,Desagregations!$A:$B,2,0),""),IF(O184&lt;&gt;"","_",""),IF(O184&lt;&gt;"",VLOOKUP(O184,Desagregations!$A:$B,2,0),""),IF(P184&lt;&gt;"","_",""),IF(P184&lt;&gt;"",VLOOKUP(P184,Desagregations!$A:$B,2,0),"")),"-",VLOOKUP(D184,Unites!$A:$B,2,0),"-",VLOOKUP(E184,Sources!$A:$B,2,0),"-",VLOOKUP(F184,CommentaireValeurIndicateurs!$A:$B,2,0),"-",VLOOKUP(G184,NatureDonnees!$A:$B,2,0),"-",VLOOKUP(H184,Periodes!$A:$B,2,0))</f>
        <v>1286-1-6-10-28-3-1-28</v>
      </c>
      <c r="B184" s="2" t="s">
        <v>42</v>
      </c>
      <c r="C184" s="4" t="s">
        <v>136</v>
      </c>
      <c r="D184" t="s">
        <v>131</v>
      </c>
      <c r="E184" t="s">
        <v>102</v>
      </c>
      <c r="F184" s="4" t="s">
        <v>399</v>
      </c>
      <c r="G184" s="4" t="s">
        <v>400</v>
      </c>
      <c r="H184">
        <v>2027</v>
      </c>
      <c r="I184">
        <v>13.11</v>
      </c>
      <c r="K184" t="s">
        <v>77</v>
      </c>
    </row>
    <row r="185" spans="1:11" x14ac:dyDescent="0.25">
      <c r="A185" t="str">
        <f>_xlfn.CONCAT(VLOOKUP(B185,Indicateurs!$A:$B,2,0),"-",VLOOKUP(C185,Zones!$A:$B,2,0),"-",_xlfn.CONCAT(IF(K185&lt;&gt;"",VLOOKUP(K185,Desagregations!$A:$B,2,0),""),IF(L185&lt;&gt;"","_",""),IF(L185&lt;&gt;"",VLOOKUP(L185,Desagregations!$A:$B,2,0),""),IF(M185&lt;&gt;"","_",""),IF(M185&lt;&gt;"",VLOOKUP(M185,Desagregations!$A:$B,2,0),""),IF(N185&lt;&gt;"","_",""),IF(N185&lt;&gt;"",VLOOKUP(N185,Desagregations!$A:$B,2,0),""),IF(O185&lt;&gt;"","_",""),IF(O185&lt;&gt;"",VLOOKUP(O185,Desagregations!$A:$B,2,0),""),IF(P185&lt;&gt;"","_",""),IF(P185&lt;&gt;"",VLOOKUP(P185,Desagregations!$A:$B,2,0),"")),"-",VLOOKUP(D185,Unites!$A:$B,2,0),"-",VLOOKUP(E185,Sources!$A:$B,2,0),"-",VLOOKUP(F185,CommentaireValeurIndicateurs!$A:$B,2,0),"-",VLOOKUP(G185,NatureDonnees!$A:$B,2,0),"-",VLOOKUP(H185,Periodes!$A:$B,2,0))</f>
        <v>1287-1-6-6-29-3-1-28</v>
      </c>
      <c r="B185" s="2" t="s">
        <v>43</v>
      </c>
      <c r="C185" s="4" t="s">
        <v>136</v>
      </c>
      <c r="D185" t="s">
        <v>127</v>
      </c>
      <c r="E185" t="s">
        <v>103</v>
      </c>
      <c r="F185" s="4" t="s">
        <v>399</v>
      </c>
      <c r="G185" s="4" t="s">
        <v>400</v>
      </c>
      <c r="H185">
        <v>2027</v>
      </c>
      <c r="I185">
        <v>24</v>
      </c>
      <c r="K185" t="s">
        <v>77</v>
      </c>
    </row>
    <row r="186" spans="1:11" x14ac:dyDescent="0.25">
      <c r="A186" t="str">
        <f>_xlfn.CONCAT(VLOOKUP(B186,Indicateurs!$A:$B,2,0),"-",VLOOKUP(C186,Zones!$A:$B,2,0),"-",_xlfn.CONCAT(IF(K186&lt;&gt;"",VLOOKUP(K186,Desagregations!$A:$B,2,0),""),IF(L186&lt;&gt;"","_",""),IF(L186&lt;&gt;"",VLOOKUP(L186,Desagregations!$A:$B,2,0),""),IF(M186&lt;&gt;"","_",""),IF(M186&lt;&gt;"",VLOOKUP(M186,Desagregations!$A:$B,2,0),""),IF(N186&lt;&gt;"","_",""),IF(N186&lt;&gt;"",VLOOKUP(N186,Desagregations!$A:$B,2,0),""),IF(O186&lt;&gt;"","_",""),IF(O186&lt;&gt;"",VLOOKUP(O186,Desagregations!$A:$B,2,0),""),IF(P186&lt;&gt;"","_",""),IF(P186&lt;&gt;"",VLOOKUP(P186,Desagregations!$A:$B,2,0),"")),"-",VLOOKUP(D186,Unites!$A:$B,2,0),"-",VLOOKUP(E186,Sources!$A:$B,2,0),"-",VLOOKUP(F186,CommentaireValeurIndicateurs!$A:$B,2,0),"-",VLOOKUP(G186,NatureDonnees!$A:$B,2,0),"-",VLOOKUP(H186,Periodes!$A:$B,2,0))</f>
        <v>1288-1-6-4-30-3-1-28</v>
      </c>
      <c r="B186" s="2" t="s">
        <v>44</v>
      </c>
      <c r="C186" s="4" t="s">
        <v>136</v>
      </c>
      <c r="D186" t="s">
        <v>125</v>
      </c>
      <c r="E186" s="4" t="s">
        <v>104</v>
      </c>
      <c r="F186" s="4" t="s">
        <v>399</v>
      </c>
      <c r="G186" s="4" t="s">
        <v>400</v>
      </c>
      <c r="H186">
        <v>2027</v>
      </c>
      <c r="I186">
        <v>100</v>
      </c>
      <c r="K186" t="s">
        <v>77</v>
      </c>
    </row>
    <row r="187" spans="1:11" x14ac:dyDescent="0.25">
      <c r="A187" t="str">
        <f>_xlfn.CONCAT(VLOOKUP(B187,Indicateurs!$A:$B,2,0),"-",VLOOKUP(C187,Zones!$A:$B,2,0),"-",_xlfn.CONCAT(IF(K187&lt;&gt;"",VLOOKUP(K187,Desagregations!$A:$B,2,0),""),IF(L187&lt;&gt;"","_",""),IF(L187&lt;&gt;"",VLOOKUP(L187,Desagregations!$A:$B,2,0),""),IF(M187&lt;&gt;"","_",""),IF(M187&lt;&gt;"",VLOOKUP(M187,Desagregations!$A:$B,2,0),""),IF(N187&lt;&gt;"","_",""),IF(N187&lt;&gt;"",VLOOKUP(N187,Desagregations!$A:$B,2,0),""),IF(O187&lt;&gt;"","_",""),IF(O187&lt;&gt;"",VLOOKUP(O187,Desagregations!$A:$B,2,0),""),IF(P187&lt;&gt;"","_",""),IF(P187&lt;&gt;"",VLOOKUP(P187,Desagregations!$A:$B,2,0),"")),"-",VLOOKUP(D187,Unites!$A:$B,2,0),"-",VLOOKUP(E187,Sources!$A:$B,2,0),"-",VLOOKUP(F187,CommentaireValeurIndicateurs!$A:$B,2,0),"-",VLOOKUP(G187,NatureDonnees!$A:$B,2,0),"-",VLOOKUP(H187,Periodes!$A:$B,2,0))</f>
        <v>1289-1-6-4-30-3-1-28</v>
      </c>
      <c r="B187" s="2" t="s">
        <v>45</v>
      </c>
      <c r="C187" s="4" t="s">
        <v>136</v>
      </c>
      <c r="D187" t="s">
        <v>125</v>
      </c>
      <c r="E187" s="4" t="s">
        <v>104</v>
      </c>
      <c r="F187" s="4" t="s">
        <v>399</v>
      </c>
      <c r="G187" s="4" t="s">
        <v>400</v>
      </c>
      <c r="H187">
        <v>2027</v>
      </c>
      <c r="I187">
        <v>70</v>
      </c>
      <c r="K187" t="s">
        <v>77</v>
      </c>
    </row>
    <row r="188" spans="1:11" x14ac:dyDescent="0.25">
      <c r="A188" t="str">
        <f>_xlfn.CONCAT(VLOOKUP(B188,Indicateurs!$A:$B,2,0),"-",VLOOKUP(C188,Zones!$A:$B,2,0),"-",_xlfn.CONCAT(IF(K188&lt;&gt;"",VLOOKUP(K188,Desagregations!$A:$B,2,0),""),IF(L188&lt;&gt;"","_",""),IF(L188&lt;&gt;"",VLOOKUP(L188,Desagregations!$A:$B,2,0),""),IF(M188&lt;&gt;"","_",""),IF(M188&lt;&gt;"",VLOOKUP(M188,Desagregations!$A:$B,2,0),""),IF(N188&lt;&gt;"","_",""),IF(N188&lt;&gt;"",VLOOKUP(N188,Desagregations!$A:$B,2,0),""),IF(O188&lt;&gt;"","_",""),IF(O188&lt;&gt;"",VLOOKUP(O188,Desagregations!$A:$B,2,0),""),IF(P188&lt;&gt;"","_",""),IF(P188&lt;&gt;"",VLOOKUP(P188,Desagregations!$A:$B,2,0),"")),"-",VLOOKUP(D188,Unites!$A:$B,2,0),"-",VLOOKUP(E188,Sources!$A:$B,2,0),"-",VLOOKUP(F188,CommentaireValeurIndicateurs!$A:$B,2,0),"-",VLOOKUP(G188,NatureDonnees!$A:$B,2,0),"-",VLOOKUP(H188,Periodes!$A:$B,2,0))</f>
        <v>1290-1-6-4-4-3-1-28</v>
      </c>
      <c r="B188" s="2" t="s">
        <v>46</v>
      </c>
      <c r="C188" s="4" t="s">
        <v>136</v>
      </c>
      <c r="D188" t="s">
        <v>125</v>
      </c>
      <c r="E188" t="s">
        <v>78</v>
      </c>
      <c r="F188" s="4" t="s">
        <v>399</v>
      </c>
      <c r="G188" s="4" t="s">
        <v>400</v>
      </c>
      <c r="H188">
        <v>2027</v>
      </c>
      <c r="I188">
        <v>39.92</v>
      </c>
      <c r="K188" t="s">
        <v>77</v>
      </c>
    </row>
    <row r="189" spans="1:11" x14ac:dyDescent="0.25">
      <c r="A189" t="str">
        <f>_xlfn.CONCAT(VLOOKUP(B189,Indicateurs!$A:$B,2,0),"-",VLOOKUP(C189,Zones!$A:$B,2,0),"-",_xlfn.CONCAT(IF(K189&lt;&gt;"",VLOOKUP(K189,Desagregations!$A:$B,2,0),""),IF(L189&lt;&gt;"","_",""),IF(L189&lt;&gt;"",VLOOKUP(L189,Desagregations!$A:$B,2,0),""),IF(M189&lt;&gt;"","_",""),IF(M189&lt;&gt;"",VLOOKUP(M189,Desagregations!$A:$B,2,0),""),IF(N189&lt;&gt;"","_",""),IF(N189&lt;&gt;"",VLOOKUP(N189,Desagregations!$A:$B,2,0),""),IF(O189&lt;&gt;"","_",""),IF(O189&lt;&gt;"",VLOOKUP(O189,Desagregations!$A:$B,2,0),""),IF(P189&lt;&gt;"","_",""),IF(P189&lt;&gt;"",VLOOKUP(P189,Desagregations!$A:$B,2,0),"")),"-",VLOOKUP(D189,Unites!$A:$B,2,0),"-",VLOOKUP(E189,Sources!$A:$B,2,0),"-",VLOOKUP(F189,CommentaireValeurIndicateurs!$A:$B,2,0),"-",VLOOKUP(G189,NatureDonnees!$A:$B,2,0),"-",VLOOKUP(H189,Periodes!$A:$B,2,0))</f>
        <v>1291-1-6-11-31-3-1-28</v>
      </c>
      <c r="B189" s="2" t="s">
        <v>47</v>
      </c>
      <c r="C189" s="4" t="s">
        <v>136</v>
      </c>
      <c r="D189" t="s">
        <v>132</v>
      </c>
      <c r="E189" t="s">
        <v>105</v>
      </c>
      <c r="F189" s="4" t="s">
        <v>399</v>
      </c>
      <c r="G189" s="4" t="s">
        <v>400</v>
      </c>
      <c r="H189">
        <v>2027</v>
      </c>
      <c r="I189">
        <v>59</v>
      </c>
      <c r="K189" t="s">
        <v>77</v>
      </c>
    </row>
    <row r="190" spans="1:11" x14ac:dyDescent="0.25">
      <c r="A190" t="str">
        <f>_xlfn.CONCAT(VLOOKUP(B190,Indicateurs!$A:$B,2,0),"-",VLOOKUP(C190,Zones!$A:$B,2,0),"-",_xlfn.CONCAT(IF(K190&lt;&gt;"",VLOOKUP(K190,Desagregations!$A:$B,2,0),""),IF(L190&lt;&gt;"","_",""),IF(L190&lt;&gt;"",VLOOKUP(L190,Desagregations!$A:$B,2,0),""),IF(M190&lt;&gt;"","_",""),IF(M190&lt;&gt;"",VLOOKUP(M190,Desagregations!$A:$B,2,0),""),IF(N190&lt;&gt;"","_",""),IF(N190&lt;&gt;"",VLOOKUP(N190,Desagregations!$A:$B,2,0),""),IF(O190&lt;&gt;"","_",""),IF(O190&lt;&gt;"",VLOOKUP(O190,Desagregations!$A:$B,2,0),""),IF(P190&lt;&gt;"","_",""),IF(P190&lt;&gt;"",VLOOKUP(P190,Desagregations!$A:$B,2,0),"")),"-",VLOOKUP(D190,Unites!$A:$B,2,0),"-",VLOOKUP(E190,Sources!$A:$B,2,0),"-",VLOOKUP(F190,CommentaireValeurIndicateurs!$A:$B,2,0),"-",VLOOKUP(G190,NatureDonnees!$A:$B,2,0),"-",VLOOKUP(H190,Periodes!$A:$B,2,0))</f>
        <v>1292-1-6-12-32-3-1-28</v>
      </c>
      <c r="B190" s="2" t="s">
        <v>48</v>
      </c>
      <c r="C190" s="4" t="s">
        <v>136</v>
      </c>
      <c r="D190" t="s">
        <v>133</v>
      </c>
      <c r="E190" t="s">
        <v>106</v>
      </c>
      <c r="F190" s="4" t="s">
        <v>399</v>
      </c>
      <c r="G190" s="4" t="s">
        <v>400</v>
      </c>
      <c r="H190">
        <v>2027</v>
      </c>
      <c r="I190">
        <v>264</v>
      </c>
      <c r="K190" t="s">
        <v>77</v>
      </c>
    </row>
    <row r="191" spans="1:11" x14ac:dyDescent="0.25">
      <c r="A191" t="str">
        <f>_xlfn.CONCAT(VLOOKUP(B191,Indicateurs!$A:$B,2,0),"-",VLOOKUP(C191,Zones!$A:$B,2,0),"-",_xlfn.CONCAT(IF(K191&lt;&gt;"",VLOOKUP(K191,Desagregations!$A:$B,2,0),""),IF(L191&lt;&gt;"","_",""),IF(L191&lt;&gt;"",VLOOKUP(L191,Desagregations!$A:$B,2,0),""),IF(M191&lt;&gt;"","_",""),IF(M191&lt;&gt;"",VLOOKUP(M191,Desagregations!$A:$B,2,0),""),IF(N191&lt;&gt;"","_",""),IF(N191&lt;&gt;"",VLOOKUP(N191,Desagregations!$A:$B,2,0),""),IF(O191&lt;&gt;"","_",""),IF(O191&lt;&gt;"",VLOOKUP(O191,Desagregations!$A:$B,2,0),""),IF(P191&lt;&gt;"","_",""),IF(P191&lt;&gt;"",VLOOKUP(P191,Desagregations!$A:$B,2,0),"")),"-",VLOOKUP(D191,Unites!$A:$B,2,0),"-",VLOOKUP(E191,Sources!$A:$B,2,0),"-",VLOOKUP(F191,CommentaireValeurIndicateurs!$A:$B,2,0),"-",VLOOKUP(G191,NatureDonnees!$A:$B,2,0),"-",VLOOKUP(H191,Periodes!$A:$B,2,0))</f>
        <v>1293-1-6-4-33-3-1-28</v>
      </c>
      <c r="B191" s="2" t="s">
        <v>49</v>
      </c>
      <c r="C191" s="4" t="s">
        <v>136</v>
      </c>
      <c r="D191" t="s">
        <v>125</v>
      </c>
      <c r="E191" t="s">
        <v>107</v>
      </c>
      <c r="F191" s="4" t="s">
        <v>399</v>
      </c>
      <c r="G191" s="4" t="s">
        <v>400</v>
      </c>
      <c r="H191">
        <v>2027</v>
      </c>
      <c r="I191">
        <v>48.3</v>
      </c>
      <c r="K191" t="s">
        <v>77</v>
      </c>
    </row>
    <row r="192" spans="1:11" x14ac:dyDescent="0.25">
      <c r="A192" t="str">
        <f>_xlfn.CONCAT(VLOOKUP(B192,Indicateurs!$A:$B,2,0),"-",VLOOKUP(C192,Zones!$A:$B,2,0),"-",_xlfn.CONCAT(IF(K192&lt;&gt;"",VLOOKUP(K192,Desagregations!$A:$B,2,0),""),IF(L192&lt;&gt;"","_",""),IF(L192&lt;&gt;"",VLOOKUP(L192,Desagregations!$A:$B,2,0),""),IF(M192&lt;&gt;"","_",""),IF(M192&lt;&gt;"",VLOOKUP(M192,Desagregations!$A:$B,2,0),""),IF(N192&lt;&gt;"","_",""),IF(N192&lt;&gt;"",VLOOKUP(N192,Desagregations!$A:$B,2,0),""),IF(O192&lt;&gt;"","_",""),IF(O192&lt;&gt;"",VLOOKUP(O192,Desagregations!$A:$B,2,0),""),IF(P192&lt;&gt;"","_",""),IF(P192&lt;&gt;"",VLOOKUP(P192,Desagregations!$A:$B,2,0),"")),"-",VLOOKUP(D192,Unites!$A:$B,2,0),"-",VLOOKUP(E192,Sources!$A:$B,2,0),"-",VLOOKUP(F192,CommentaireValeurIndicateurs!$A:$B,2,0),"-",VLOOKUP(G192,NatureDonnees!$A:$B,2,0),"-",VLOOKUP(H192,Periodes!$A:$B,2,0))</f>
        <v>1294-1-6-4-33-3-1-28</v>
      </c>
      <c r="B192" s="2" t="s">
        <v>50</v>
      </c>
      <c r="C192" s="4" t="s">
        <v>136</v>
      </c>
      <c r="D192" t="s">
        <v>125</v>
      </c>
      <c r="E192" t="s">
        <v>107</v>
      </c>
      <c r="F192" s="4" t="s">
        <v>399</v>
      </c>
      <c r="G192" s="4" t="s">
        <v>400</v>
      </c>
      <c r="H192">
        <v>2027</v>
      </c>
      <c r="I192">
        <v>15.6</v>
      </c>
      <c r="K192" t="s">
        <v>77</v>
      </c>
    </row>
    <row r="193" spans="1:11" x14ac:dyDescent="0.25">
      <c r="A193" t="str">
        <f>_xlfn.CONCAT(VLOOKUP(B193,Indicateurs!$A:$B,2,0),"-",VLOOKUP(C193,Zones!$A:$B,2,0),"-",_xlfn.CONCAT(IF(K193&lt;&gt;"",VLOOKUP(K193,Desagregations!$A:$B,2,0),""),IF(L193&lt;&gt;"","_",""),IF(L193&lt;&gt;"",VLOOKUP(L193,Desagregations!$A:$B,2,0),""),IF(M193&lt;&gt;"","_",""),IF(M193&lt;&gt;"",VLOOKUP(M193,Desagregations!$A:$B,2,0),""),IF(N193&lt;&gt;"","_",""),IF(N193&lt;&gt;"",VLOOKUP(N193,Desagregations!$A:$B,2,0),""),IF(O193&lt;&gt;"","_",""),IF(O193&lt;&gt;"",VLOOKUP(O193,Desagregations!$A:$B,2,0),""),IF(P193&lt;&gt;"","_",""),IF(P193&lt;&gt;"",VLOOKUP(P193,Desagregations!$A:$B,2,0),"")),"-",VLOOKUP(D193,Unites!$A:$B,2,0),"-",VLOOKUP(E193,Sources!$A:$B,2,0),"-",VLOOKUP(F193,CommentaireValeurIndicateurs!$A:$B,2,0),"-",VLOOKUP(G193,NatureDonnees!$A:$B,2,0),"-",VLOOKUP(H193,Periodes!$A:$B,2,0))</f>
        <v>1295-1-6-4-33-3-1-28</v>
      </c>
      <c r="B193" s="2" t="s">
        <v>51</v>
      </c>
      <c r="C193" s="4" t="s">
        <v>136</v>
      </c>
      <c r="D193" t="s">
        <v>125</v>
      </c>
      <c r="E193" t="s">
        <v>107</v>
      </c>
      <c r="F193" s="4" t="s">
        <v>399</v>
      </c>
      <c r="G193" s="4" t="s">
        <v>400</v>
      </c>
      <c r="H193">
        <v>2027</v>
      </c>
      <c r="I193">
        <v>9.5500000000000007</v>
      </c>
      <c r="K193" t="s">
        <v>77</v>
      </c>
    </row>
    <row r="194" spans="1:11" x14ac:dyDescent="0.25">
      <c r="A194" t="str">
        <f>_xlfn.CONCAT(VLOOKUP(B194,Indicateurs!$A:$B,2,0),"-",VLOOKUP(C194,Zones!$A:$B,2,0),"-",_xlfn.CONCAT(IF(K194&lt;&gt;"",VLOOKUP(K194,Desagregations!$A:$B,2,0),""),IF(L194&lt;&gt;"","_",""),IF(L194&lt;&gt;"",VLOOKUP(L194,Desagregations!$A:$B,2,0),""),IF(M194&lt;&gt;"","_",""),IF(M194&lt;&gt;"",VLOOKUP(M194,Desagregations!$A:$B,2,0),""),IF(N194&lt;&gt;"","_",""),IF(N194&lt;&gt;"",VLOOKUP(N194,Desagregations!$A:$B,2,0),""),IF(O194&lt;&gt;"","_",""),IF(O194&lt;&gt;"",VLOOKUP(O194,Desagregations!$A:$B,2,0),""),IF(P194&lt;&gt;"","_",""),IF(P194&lt;&gt;"",VLOOKUP(P194,Desagregations!$A:$B,2,0),"")),"-",VLOOKUP(D194,Unites!$A:$B,2,0),"-",VLOOKUP(E194,Sources!$A:$B,2,0),"-",VLOOKUP(F194,CommentaireValeurIndicateurs!$A:$B,2,0),"-",VLOOKUP(G194,NatureDonnees!$A:$B,2,0),"-",VLOOKUP(H194,Periodes!$A:$B,2,0))</f>
        <v>1296-1-6-4-33-3-1-28</v>
      </c>
      <c r="B194" s="2" t="s">
        <v>52</v>
      </c>
      <c r="C194" s="4" t="s">
        <v>136</v>
      </c>
      <c r="D194" t="s">
        <v>125</v>
      </c>
      <c r="E194" t="s">
        <v>107</v>
      </c>
      <c r="F194" s="4" t="s">
        <v>399</v>
      </c>
      <c r="G194" s="4" t="s">
        <v>400</v>
      </c>
      <c r="H194">
        <v>2027</v>
      </c>
      <c r="I194">
        <v>16.64</v>
      </c>
      <c r="K194" t="s">
        <v>77</v>
      </c>
    </row>
    <row r="195" spans="1:11" x14ac:dyDescent="0.25">
      <c r="A195" t="str">
        <f>_xlfn.CONCAT(VLOOKUP(B195,Indicateurs!$A:$B,2,0),"-",VLOOKUP(C195,Zones!$A:$B,2,0),"-",_xlfn.CONCAT(IF(K195&lt;&gt;"",VLOOKUP(K195,Desagregations!$A:$B,2,0),""),IF(L195&lt;&gt;"","_",""),IF(L195&lt;&gt;"",VLOOKUP(L195,Desagregations!$A:$B,2,0),""),IF(M195&lt;&gt;"","_",""),IF(M195&lt;&gt;"",VLOOKUP(M195,Desagregations!$A:$B,2,0),""),IF(N195&lt;&gt;"","_",""),IF(N195&lt;&gt;"",VLOOKUP(N195,Desagregations!$A:$B,2,0),""),IF(O195&lt;&gt;"","_",""),IF(O195&lt;&gt;"",VLOOKUP(O195,Desagregations!$A:$B,2,0),""),IF(P195&lt;&gt;"","_",""),IF(P195&lt;&gt;"",VLOOKUP(P195,Desagregations!$A:$B,2,0),"")),"-",VLOOKUP(D195,Unites!$A:$B,2,0),"-",VLOOKUP(E195,Sources!$A:$B,2,0),"-",VLOOKUP(F195,CommentaireValeurIndicateurs!$A:$B,2,0),"-",VLOOKUP(G195,NatureDonnees!$A:$B,2,0),"-",VLOOKUP(H195,Periodes!$A:$B,2,0))</f>
        <v>1297-1-6-5-34-3-1-28</v>
      </c>
      <c r="B195" s="2" t="s">
        <v>53</v>
      </c>
      <c r="C195" s="4" t="s">
        <v>136</v>
      </c>
      <c r="D195" t="s">
        <v>126</v>
      </c>
      <c r="E195" t="s">
        <v>108</v>
      </c>
      <c r="F195" s="4" t="s">
        <v>399</v>
      </c>
      <c r="G195" s="4" t="s">
        <v>400</v>
      </c>
      <c r="H195">
        <v>2027</v>
      </c>
      <c r="I195">
        <v>3.17</v>
      </c>
      <c r="K195" t="s">
        <v>77</v>
      </c>
    </row>
    <row r="196" spans="1:11" x14ac:dyDescent="0.25">
      <c r="A196" t="str">
        <f>_xlfn.CONCAT(VLOOKUP(B196,Indicateurs!$A:$B,2,0),"-",VLOOKUP(C196,Zones!$A:$B,2,0),"-",_xlfn.CONCAT(IF(K196&lt;&gt;"",VLOOKUP(K196,Desagregations!$A:$B,2,0),""),IF(L196&lt;&gt;"","_",""),IF(L196&lt;&gt;"",VLOOKUP(L196,Desagregations!$A:$B,2,0),""),IF(M196&lt;&gt;"","_",""),IF(M196&lt;&gt;"",VLOOKUP(M196,Desagregations!$A:$B,2,0),""),IF(N196&lt;&gt;"","_",""),IF(N196&lt;&gt;"",VLOOKUP(N196,Desagregations!$A:$B,2,0),""),IF(O196&lt;&gt;"","_",""),IF(O196&lt;&gt;"",VLOOKUP(O196,Desagregations!$A:$B,2,0),""),IF(P196&lt;&gt;"","_",""),IF(P196&lt;&gt;"",VLOOKUP(P196,Desagregations!$A:$B,2,0),"")),"-",VLOOKUP(D196,Unites!$A:$B,2,0),"-",VLOOKUP(E196,Sources!$A:$B,2,0),"-",VLOOKUP(F196,CommentaireValeurIndicateurs!$A:$B,2,0),"-",VLOOKUP(G196,NatureDonnees!$A:$B,2,0),"-",VLOOKUP(H196,Periodes!$A:$B,2,0))</f>
        <v>1298-1-6-13-35-3-1-28</v>
      </c>
      <c r="B196" s="2" t="s">
        <v>54</v>
      </c>
      <c r="C196" s="4" t="s">
        <v>136</v>
      </c>
      <c r="D196" t="s">
        <v>134</v>
      </c>
      <c r="E196" t="s">
        <v>109</v>
      </c>
      <c r="F196" s="4" t="s">
        <v>399</v>
      </c>
      <c r="G196" s="4" t="s">
        <v>400</v>
      </c>
      <c r="H196">
        <v>2027</v>
      </c>
      <c r="I196">
        <v>58.04</v>
      </c>
      <c r="K196" t="s">
        <v>77</v>
      </c>
    </row>
    <row r="197" spans="1:11" x14ac:dyDescent="0.25">
      <c r="A197" t="str">
        <f>_xlfn.CONCAT(VLOOKUP(B197,Indicateurs!$A:$B,2,0),"-",VLOOKUP(C197,Zones!$A:$B,2,0),"-",_xlfn.CONCAT(IF(K197&lt;&gt;"",VLOOKUP(K197,Desagregations!$A:$B,2,0),""),IF(L197&lt;&gt;"","_",""),IF(L197&lt;&gt;"",VLOOKUP(L197,Desagregations!$A:$B,2,0),""),IF(M197&lt;&gt;"","_",""),IF(M197&lt;&gt;"",VLOOKUP(M197,Desagregations!$A:$B,2,0),""),IF(N197&lt;&gt;"","_",""),IF(N197&lt;&gt;"",VLOOKUP(N197,Desagregations!$A:$B,2,0),""),IF(O197&lt;&gt;"","_",""),IF(O197&lt;&gt;"",VLOOKUP(O197,Desagregations!$A:$B,2,0),""),IF(P197&lt;&gt;"","_",""),IF(P197&lt;&gt;"",VLOOKUP(P197,Desagregations!$A:$B,2,0),"")),"-",VLOOKUP(D197,Unites!$A:$B,2,0),"-",VLOOKUP(E197,Sources!$A:$B,2,0),"-",VLOOKUP(F197,CommentaireValeurIndicateurs!$A:$B,2,0),"-",VLOOKUP(G197,NatureDonnees!$A:$B,2,0),"-",VLOOKUP(H197,Periodes!$A:$B,2,0))</f>
        <v>1299-1-6-8-36-3-1-28</v>
      </c>
      <c r="B197" s="2" t="s">
        <v>55</v>
      </c>
      <c r="C197" s="4" t="s">
        <v>136</v>
      </c>
      <c r="D197" t="s">
        <v>129</v>
      </c>
      <c r="E197" t="s">
        <v>110</v>
      </c>
      <c r="F197" s="4" t="s">
        <v>399</v>
      </c>
      <c r="G197" s="4" t="s">
        <v>400</v>
      </c>
      <c r="H197">
        <v>2027</v>
      </c>
      <c r="I197">
        <v>1.99</v>
      </c>
      <c r="K197" t="s">
        <v>77</v>
      </c>
    </row>
    <row r="198" spans="1:11" x14ac:dyDescent="0.25">
      <c r="A198" t="str">
        <f>_xlfn.CONCAT(VLOOKUP(B198,Indicateurs!$A:$B,2,0),"-",VLOOKUP(C198,Zones!$A:$B,2,0),"-",_xlfn.CONCAT(IF(K198&lt;&gt;"",VLOOKUP(K198,Desagregations!$A:$B,2,0),""),IF(L198&lt;&gt;"","_",""),IF(L198&lt;&gt;"",VLOOKUP(L198,Desagregations!$A:$B,2,0),""),IF(M198&lt;&gt;"","_",""),IF(M198&lt;&gt;"",VLOOKUP(M198,Desagregations!$A:$B,2,0),""),IF(N198&lt;&gt;"","_",""),IF(N198&lt;&gt;"",VLOOKUP(N198,Desagregations!$A:$B,2,0),""),IF(O198&lt;&gt;"","_",""),IF(O198&lt;&gt;"",VLOOKUP(O198,Desagregations!$A:$B,2,0),""),IF(P198&lt;&gt;"","_",""),IF(P198&lt;&gt;"",VLOOKUP(P198,Desagregations!$A:$B,2,0),"")),"-",VLOOKUP(D198,Unites!$A:$B,2,0),"-",VLOOKUP(E198,Sources!$A:$B,2,0),"-",VLOOKUP(F198,CommentaireValeurIndicateurs!$A:$B,2,0),"-",VLOOKUP(G198,NatureDonnees!$A:$B,2,0),"-",VLOOKUP(H198,Periodes!$A:$B,2,0))</f>
        <v>1300-1-6-4-25-3-1-28</v>
      </c>
      <c r="B198" s="2" t="s">
        <v>56</v>
      </c>
      <c r="C198" s="4" t="s">
        <v>136</v>
      </c>
      <c r="D198" t="s">
        <v>125</v>
      </c>
      <c r="E198" t="s">
        <v>99</v>
      </c>
      <c r="F198" s="4" t="s">
        <v>399</v>
      </c>
      <c r="G198" s="4" t="s">
        <v>400</v>
      </c>
      <c r="H198">
        <v>2027</v>
      </c>
      <c r="I198">
        <v>57</v>
      </c>
      <c r="K198" t="s">
        <v>77</v>
      </c>
    </row>
    <row r="199" spans="1:11" x14ac:dyDescent="0.25">
      <c r="A199" t="e">
        <f>_xlfn.CONCAT(VLOOKUP(B199,Indicateurs!$A:$B,2,0),"-",VLOOKUP(C199,Zones!$A:$B,2,0),"-",_xlfn.CONCAT(IF(K199&lt;&gt;"",VLOOKUP(K199,Desagregations!$A:$B,2,0),""),IF(L199&lt;&gt;"","_",""),IF(L199&lt;&gt;"",VLOOKUP(L199,Desagregations!$A:$B,2,0),""),IF(M199&lt;&gt;"","_",""),IF(M199&lt;&gt;"",VLOOKUP(M199,Desagregations!$A:$B,2,0),""),IF(N199&lt;&gt;"","_",""),IF(N199&lt;&gt;"",VLOOKUP(N199,Desagregations!$A:$B,2,0),""),IF(O199&lt;&gt;"","_",""),IF(O199&lt;&gt;"",VLOOKUP(O199,Desagregations!$A:$B,2,0),""),IF(P199&lt;&gt;"","_",""),IF(P199&lt;&gt;"",VLOOKUP(P199,Desagregations!$A:$B,2,0),"")),"-",VLOOKUP(D199,Unites!$A:$B,2,0),"-",VLOOKUP(E199,Sources!$A:$B,2,0),"-",VLOOKUP(F199,CommentaireValeurIndicateurs!$A:$B,2,0),"-",VLOOKUP(G199,NatureDonnees!$A:$B,2,0),"-",VLOOKUP(H199,Periodes!$A:$B,2,0))</f>
        <v>#N/A</v>
      </c>
      <c r="B199" s="5" t="s">
        <v>57</v>
      </c>
      <c r="C199" s="4" t="s">
        <v>136</v>
      </c>
      <c r="D199" t="s">
        <v>125</v>
      </c>
      <c r="E199" t="s">
        <v>112</v>
      </c>
      <c r="F199" s="4" t="s">
        <v>399</v>
      </c>
      <c r="G199" s="4" t="s">
        <v>400</v>
      </c>
      <c r="K199" t="s">
        <v>77</v>
      </c>
    </row>
    <row r="200" spans="1:11" x14ac:dyDescent="0.25">
      <c r="A200" t="e">
        <f>_xlfn.CONCAT(VLOOKUP(B200,Indicateurs!$A:$B,2,0),"-",VLOOKUP(C200,Zones!$A:$B,2,0),"-",_xlfn.CONCAT(IF(K200&lt;&gt;"",VLOOKUP(K200,Desagregations!$A:$B,2,0),""),IF(L200&lt;&gt;"","_",""),IF(L200&lt;&gt;"",VLOOKUP(L200,Desagregations!$A:$B,2,0),""),IF(M200&lt;&gt;"","_",""),IF(M200&lt;&gt;"",VLOOKUP(M200,Desagregations!$A:$B,2,0),""),IF(N200&lt;&gt;"","_",""),IF(N200&lt;&gt;"",VLOOKUP(N200,Desagregations!$A:$B,2,0),""),IF(O200&lt;&gt;"","_",""),IF(O200&lt;&gt;"",VLOOKUP(O200,Desagregations!$A:$B,2,0),""),IF(P200&lt;&gt;"","_",""),IF(P200&lt;&gt;"",VLOOKUP(P200,Desagregations!$A:$B,2,0),"")),"-",VLOOKUP(D200,Unites!$A:$B,2,0),"-",VLOOKUP(E200,Sources!$A:$B,2,0),"-",VLOOKUP(F200,CommentaireValeurIndicateurs!$A:$B,2,0),"-",VLOOKUP(G200,NatureDonnees!$A:$B,2,0),"-",VLOOKUP(H200,Periodes!$A:$B,2,0))</f>
        <v>#N/A</v>
      </c>
      <c r="B200" s="5" t="s">
        <v>58</v>
      </c>
      <c r="C200" s="4" t="s">
        <v>136</v>
      </c>
      <c r="D200" t="s">
        <v>125</v>
      </c>
      <c r="E200" t="s">
        <v>113</v>
      </c>
      <c r="F200" s="4" t="s">
        <v>399</v>
      </c>
      <c r="G200" s="4" t="s">
        <v>400</v>
      </c>
      <c r="K200" t="s">
        <v>77</v>
      </c>
    </row>
    <row r="201" spans="1:11" x14ac:dyDescent="0.25">
      <c r="A201" t="str">
        <f>_xlfn.CONCAT(VLOOKUP(B201,Indicateurs!$A:$B,2,0),"-",VLOOKUP(C201,Zones!$A:$B,2,0),"-",_xlfn.CONCAT(IF(K201&lt;&gt;"",VLOOKUP(K201,Desagregations!$A:$B,2,0),""),IF(L201&lt;&gt;"","_",""),IF(L201&lt;&gt;"",VLOOKUP(L201,Desagregations!$A:$B,2,0),""),IF(M201&lt;&gt;"","_",""),IF(M201&lt;&gt;"",VLOOKUP(M201,Desagregations!$A:$B,2,0),""),IF(N201&lt;&gt;"","_",""),IF(N201&lt;&gt;"",VLOOKUP(N201,Desagregations!$A:$B,2,0),""),IF(O201&lt;&gt;"","_",""),IF(O201&lt;&gt;"",VLOOKUP(O201,Desagregations!$A:$B,2,0),""),IF(P201&lt;&gt;"","_",""),IF(P201&lt;&gt;"",VLOOKUP(P201,Desagregations!$A:$B,2,0),"")),"-",VLOOKUP(D201,Unites!$A:$B,2,0),"-",VLOOKUP(E201,Sources!$A:$B,2,0),"-",VLOOKUP(F201,CommentaireValeurIndicateurs!$A:$B,2,0),"-",VLOOKUP(G201,NatureDonnees!$A:$B,2,0),"-",VLOOKUP(H201,Periodes!$A:$B,2,0))</f>
        <v>1303-1-6-4-40-3-1-28</v>
      </c>
      <c r="B201" s="2" t="s">
        <v>59</v>
      </c>
      <c r="C201" s="4" t="s">
        <v>136</v>
      </c>
      <c r="D201" t="s">
        <v>125</v>
      </c>
      <c r="E201" t="s">
        <v>114</v>
      </c>
      <c r="F201" s="4" t="s">
        <v>399</v>
      </c>
      <c r="G201" s="4" t="s">
        <v>400</v>
      </c>
      <c r="H201">
        <v>2027</v>
      </c>
      <c r="I201">
        <v>65.7</v>
      </c>
      <c r="K201" t="s">
        <v>77</v>
      </c>
    </row>
    <row r="202" spans="1:11" x14ac:dyDescent="0.25">
      <c r="A202" t="str">
        <f>_xlfn.CONCAT(VLOOKUP(B202,Indicateurs!$A:$B,2,0),"-",VLOOKUP(C202,Zones!$A:$B,2,0),"-",_xlfn.CONCAT(IF(K202&lt;&gt;"",VLOOKUP(K202,Desagregations!$A:$B,2,0),""),IF(L202&lt;&gt;"","_",""),IF(L202&lt;&gt;"",VLOOKUP(L202,Desagregations!$A:$B,2,0),""),IF(M202&lt;&gt;"","_",""),IF(M202&lt;&gt;"",VLOOKUP(M202,Desagregations!$A:$B,2,0),""),IF(N202&lt;&gt;"","_",""),IF(N202&lt;&gt;"",VLOOKUP(N202,Desagregations!$A:$B,2,0),""),IF(O202&lt;&gt;"","_",""),IF(O202&lt;&gt;"",VLOOKUP(O202,Desagregations!$A:$B,2,0),""),IF(P202&lt;&gt;"","_",""),IF(P202&lt;&gt;"",VLOOKUP(P202,Desagregations!$A:$B,2,0),"")),"-",VLOOKUP(D202,Unites!$A:$B,2,0),"-",VLOOKUP(E202,Sources!$A:$B,2,0),"-",VLOOKUP(F202,CommentaireValeurIndicateurs!$A:$B,2,0),"-",VLOOKUP(G202,NatureDonnees!$A:$B,2,0),"-",VLOOKUP(H202,Periodes!$A:$B,2,0))</f>
        <v>1304-1-6-4-41-3-1-28</v>
      </c>
      <c r="B202" s="2" t="s">
        <v>60</v>
      </c>
      <c r="C202" s="4" t="s">
        <v>136</v>
      </c>
      <c r="D202" t="s">
        <v>125</v>
      </c>
      <c r="E202" t="s">
        <v>115</v>
      </c>
      <c r="F202" s="4" t="s">
        <v>399</v>
      </c>
      <c r="G202" s="4" t="s">
        <v>400</v>
      </c>
      <c r="H202">
        <v>2027</v>
      </c>
      <c r="I202">
        <v>62.7</v>
      </c>
      <c r="K202" t="s">
        <v>77</v>
      </c>
    </row>
    <row r="203" spans="1:11" x14ac:dyDescent="0.25">
      <c r="A203" t="str">
        <f>_xlfn.CONCAT(VLOOKUP(B203,Indicateurs!$A:$B,2,0),"-",VLOOKUP(C203,Zones!$A:$B,2,0),"-",_xlfn.CONCAT(IF(K203&lt;&gt;"",VLOOKUP(K203,Desagregations!$A:$B,2,0),""),IF(L203&lt;&gt;"","_",""),IF(L203&lt;&gt;"",VLOOKUP(L203,Desagregations!$A:$B,2,0),""),IF(M203&lt;&gt;"","_",""),IF(M203&lt;&gt;"",VLOOKUP(M203,Desagregations!$A:$B,2,0),""),IF(N203&lt;&gt;"","_",""),IF(N203&lt;&gt;"",VLOOKUP(N203,Desagregations!$A:$B,2,0),""),IF(O203&lt;&gt;"","_",""),IF(O203&lt;&gt;"",VLOOKUP(O203,Desagregations!$A:$B,2,0),""),IF(P203&lt;&gt;"","_",""),IF(P203&lt;&gt;"",VLOOKUP(P203,Desagregations!$A:$B,2,0),"")),"-",VLOOKUP(D203,Unites!$A:$B,2,0),"-",VLOOKUP(E203,Sources!$A:$B,2,0),"-",VLOOKUP(F203,CommentaireValeurIndicateurs!$A:$B,2,0),"-",VLOOKUP(G203,NatureDonnees!$A:$B,2,0),"-",VLOOKUP(H203,Periodes!$A:$B,2,0))</f>
        <v>1305-1-6-4-42-3-1-28</v>
      </c>
      <c r="B203" s="2" t="s">
        <v>61</v>
      </c>
      <c r="C203" s="4" t="s">
        <v>136</v>
      </c>
      <c r="D203" t="s">
        <v>125</v>
      </c>
      <c r="E203" t="s">
        <v>116</v>
      </c>
      <c r="F203" s="4" t="s">
        <v>399</v>
      </c>
      <c r="G203" s="4" t="s">
        <v>400</v>
      </c>
      <c r="H203">
        <v>2027</v>
      </c>
      <c r="I203">
        <v>55</v>
      </c>
      <c r="K203" t="s">
        <v>77</v>
      </c>
    </row>
    <row r="204" spans="1:11" x14ac:dyDescent="0.25">
      <c r="A204" t="str">
        <f>_xlfn.CONCAT(VLOOKUP(B204,Indicateurs!$A:$B,2,0),"-",VLOOKUP(C204,Zones!$A:$B,2,0),"-",_xlfn.CONCAT(IF(K204&lt;&gt;"",VLOOKUP(K204,Desagregations!$A:$B,2,0),""),IF(L204&lt;&gt;"","_",""),IF(L204&lt;&gt;"",VLOOKUP(L204,Desagregations!$A:$B,2,0),""),IF(M204&lt;&gt;"","_",""),IF(M204&lt;&gt;"",VLOOKUP(M204,Desagregations!$A:$B,2,0),""),IF(N204&lt;&gt;"","_",""),IF(N204&lt;&gt;"",VLOOKUP(N204,Desagregations!$A:$B,2,0),""),IF(O204&lt;&gt;"","_",""),IF(O204&lt;&gt;"",VLOOKUP(O204,Desagregations!$A:$B,2,0),""),IF(P204&lt;&gt;"","_",""),IF(P204&lt;&gt;"",VLOOKUP(P204,Desagregations!$A:$B,2,0),"")),"-",VLOOKUP(D204,Unites!$A:$B,2,0),"-",VLOOKUP(E204,Sources!$A:$B,2,0),"-",VLOOKUP(F204,CommentaireValeurIndicateurs!$A:$B,2,0),"-",VLOOKUP(G204,NatureDonnees!$A:$B,2,0),"-",VLOOKUP(H204,Periodes!$A:$B,2,0))</f>
        <v>1306-1-6-4-43-3-1-28</v>
      </c>
      <c r="B204" s="2" t="s">
        <v>62</v>
      </c>
      <c r="C204" s="4" t="s">
        <v>136</v>
      </c>
      <c r="D204" t="s">
        <v>125</v>
      </c>
      <c r="E204" t="s">
        <v>117</v>
      </c>
      <c r="F204" s="4" t="s">
        <v>399</v>
      </c>
      <c r="G204" s="4" t="s">
        <v>400</v>
      </c>
      <c r="H204">
        <v>2027</v>
      </c>
      <c r="I204">
        <v>6.8</v>
      </c>
      <c r="K204" t="s">
        <v>77</v>
      </c>
    </row>
    <row r="205" spans="1:11" x14ac:dyDescent="0.25">
      <c r="A205" t="str">
        <f>_xlfn.CONCAT(VLOOKUP(B205,Indicateurs!$A:$B,2,0),"-",VLOOKUP(C205,Zones!$A:$B,2,0),"-",_xlfn.CONCAT(IF(K205&lt;&gt;"",VLOOKUP(K205,Desagregations!$A:$B,2,0),""),IF(L205&lt;&gt;"","_",""),IF(L205&lt;&gt;"",VLOOKUP(L205,Desagregations!$A:$B,2,0),""),IF(M205&lt;&gt;"","_",""),IF(M205&lt;&gt;"",VLOOKUP(M205,Desagregations!$A:$B,2,0),""),IF(N205&lt;&gt;"","_",""),IF(N205&lt;&gt;"",VLOOKUP(N205,Desagregations!$A:$B,2,0),""),IF(O205&lt;&gt;"","_",""),IF(O205&lt;&gt;"",VLOOKUP(O205,Desagregations!$A:$B,2,0),""),IF(P205&lt;&gt;"","_",""),IF(P205&lt;&gt;"",VLOOKUP(P205,Desagregations!$A:$B,2,0),"")),"-",VLOOKUP(D205,Unites!$A:$B,2,0),"-",VLOOKUP(E205,Sources!$A:$B,2,0),"-",VLOOKUP(F205,CommentaireValeurIndicateurs!$A:$B,2,0),"-",VLOOKUP(G205,NatureDonnees!$A:$B,2,0),"-",VLOOKUP(H205,Periodes!$A:$B,2,0))</f>
        <v>1307-1-6-4-44-3-1-28</v>
      </c>
      <c r="B205" s="2" t="s">
        <v>63</v>
      </c>
      <c r="C205" s="4" t="s">
        <v>136</v>
      </c>
      <c r="D205" t="s">
        <v>125</v>
      </c>
      <c r="E205" t="s">
        <v>118</v>
      </c>
      <c r="F205" s="4" t="s">
        <v>399</v>
      </c>
      <c r="G205" s="4" t="s">
        <v>400</v>
      </c>
      <c r="H205">
        <v>2027</v>
      </c>
      <c r="I205">
        <v>67</v>
      </c>
      <c r="K205" t="s">
        <v>77</v>
      </c>
    </row>
    <row r="206" spans="1:11" x14ac:dyDescent="0.25">
      <c r="A206" t="str">
        <f>_xlfn.CONCAT(VLOOKUP(B206,Indicateurs!$A:$B,2,0),"-",VLOOKUP(C206,Zones!$A:$B,2,0),"-",_xlfn.CONCAT(IF(K206&lt;&gt;"",VLOOKUP(K206,Desagregations!$A:$B,2,0),""),IF(L206&lt;&gt;"","_",""),IF(L206&lt;&gt;"",VLOOKUP(L206,Desagregations!$A:$B,2,0),""),IF(M206&lt;&gt;"","_",""),IF(M206&lt;&gt;"",VLOOKUP(M206,Desagregations!$A:$B,2,0),""),IF(N206&lt;&gt;"","_",""),IF(N206&lt;&gt;"",VLOOKUP(N206,Desagregations!$A:$B,2,0),""),IF(O206&lt;&gt;"","_",""),IF(O206&lt;&gt;"",VLOOKUP(O206,Desagregations!$A:$B,2,0),""),IF(P206&lt;&gt;"","_",""),IF(P206&lt;&gt;"",VLOOKUP(P206,Desagregations!$A:$B,2,0),"")),"-",VLOOKUP(D206,Unites!$A:$B,2,0),"-",VLOOKUP(E206,Sources!$A:$B,2,0),"-",VLOOKUP(F206,CommentaireValeurIndicateurs!$A:$B,2,0),"-",VLOOKUP(G206,NatureDonnees!$A:$B,2,0),"-",VLOOKUP(H206,Periodes!$A:$B,2,0))</f>
        <v>1308-1-6-4-4-3-1-28</v>
      </c>
      <c r="B206" s="2" t="s">
        <v>64</v>
      </c>
      <c r="C206" s="4" t="s">
        <v>136</v>
      </c>
      <c r="D206" t="s">
        <v>125</v>
      </c>
      <c r="E206" t="s">
        <v>78</v>
      </c>
      <c r="F206" s="4" t="s">
        <v>399</v>
      </c>
      <c r="G206" s="4" t="s">
        <v>400</v>
      </c>
      <c r="H206">
        <v>2027</v>
      </c>
      <c r="I206">
        <v>81</v>
      </c>
      <c r="K206" t="s">
        <v>77</v>
      </c>
    </row>
    <row r="207" spans="1:11" x14ac:dyDescent="0.25">
      <c r="A207" t="str">
        <f>_xlfn.CONCAT(VLOOKUP(B207,Indicateurs!$A:$B,2,0),"-",VLOOKUP(C207,Zones!$A:$B,2,0),"-",_xlfn.CONCAT(IF(K207&lt;&gt;"",VLOOKUP(K207,Desagregations!$A:$B,2,0),""),IF(L207&lt;&gt;"","_",""),IF(L207&lt;&gt;"",VLOOKUP(L207,Desagregations!$A:$B,2,0),""),IF(M207&lt;&gt;"","_",""),IF(M207&lt;&gt;"",VLOOKUP(M207,Desagregations!$A:$B,2,0),""),IF(N207&lt;&gt;"","_",""),IF(N207&lt;&gt;"",VLOOKUP(N207,Desagregations!$A:$B,2,0),""),IF(O207&lt;&gt;"","_",""),IF(O207&lt;&gt;"",VLOOKUP(O207,Desagregations!$A:$B,2,0),""),IF(P207&lt;&gt;"","_",""),IF(P207&lt;&gt;"",VLOOKUP(P207,Desagregations!$A:$B,2,0),"")),"-",VLOOKUP(D207,Unites!$A:$B,2,0),"-",VLOOKUP(E207,Sources!$A:$B,2,0),"-",VLOOKUP(F207,CommentaireValeurIndicateurs!$A:$B,2,0),"-",VLOOKUP(G207,NatureDonnees!$A:$B,2,0),"-",VLOOKUP(H207,Periodes!$A:$B,2,0))</f>
        <v>1309-1-6-4-45-3-1-28</v>
      </c>
      <c r="B207" s="2" t="s">
        <v>65</v>
      </c>
      <c r="C207" s="4" t="s">
        <v>136</v>
      </c>
      <c r="D207" t="s">
        <v>125</v>
      </c>
      <c r="E207" t="s">
        <v>119</v>
      </c>
      <c r="F207" s="4" t="s">
        <v>399</v>
      </c>
      <c r="G207" s="4" t="s">
        <v>400</v>
      </c>
      <c r="H207">
        <v>2027</v>
      </c>
      <c r="I207">
        <v>26.9</v>
      </c>
      <c r="K207" t="s">
        <v>77</v>
      </c>
    </row>
    <row r="208" spans="1:11" x14ac:dyDescent="0.25">
      <c r="A208" t="str">
        <f>_xlfn.CONCAT(VLOOKUP(B208,Indicateurs!$A:$B,2,0),"-",VLOOKUP(C208,Zones!$A:$B,2,0),"-",_xlfn.CONCAT(IF(K208&lt;&gt;"",VLOOKUP(K208,Desagregations!$A:$B,2,0),""),IF(L208&lt;&gt;"","_",""),IF(L208&lt;&gt;"",VLOOKUP(L208,Desagregations!$A:$B,2,0),""),IF(M208&lt;&gt;"","_",""),IF(M208&lt;&gt;"",VLOOKUP(M208,Desagregations!$A:$B,2,0),""),IF(N208&lt;&gt;"","_",""),IF(N208&lt;&gt;"",VLOOKUP(N208,Desagregations!$A:$B,2,0),""),IF(O208&lt;&gt;"","_",""),IF(O208&lt;&gt;"",VLOOKUP(O208,Desagregations!$A:$B,2,0),""),IF(P208&lt;&gt;"","_",""),IF(P208&lt;&gt;"",VLOOKUP(P208,Desagregations!$A:$B,2,0),"")),"-",VLOOKUP(D208,Unites!$A:$B,2,0),"-",VLOOKUP(E208,Sources!$A:$B,2,0),"-",VLOOKUP(F208,CommentaireValeurIndicateurs!$A:$B,2,0),"-",VLOOKUP(G208,NatureDonnees!$A:$B,2,0),"-",VLOOKUP(H208,Periodes!$A:$B,2,0))</f>
        <v>1310-1-6-4-4-3-1-28</v>
      </c>
      <c r="B208" s="2" t="s">
        <v>66</v>
      </c>
      <c r="C208" s="4" t="s">
        <v>136</v>
      </c>
      <c r="D208" t="s">
        <v>125</v>
      </c>
      <c r="E208" t="s">
        <v>78</v>
      </c>
      <c r="F208" s="4" t="s">
        <v>399</v>
      </c>
      <c r="G208" s="4" t="s">
        <v>400</v>
      </c>
      <c r="H208">
        <v>2027</v>
      </c>
      <c r="I208">
        <v>8.6</v>
      </c>
      <c r="K208" t="s">
        <v>77</v>
      </c>
    </row>
    <row r="209" spans="1:11" x14ac:dyDescent="0.25">
      <c r="A209" t="str">
        <f>_xlfn.CONCAT(VLOOKUP(B209,Indicateurs!$A:$B,2,0),"-",VLOOKUP(C209,Zones!$A:$B,2,0),"-",_xlfn.CONCAT(IF(K209&lt;&gt;"",VLOOKUP(K209,Desagregations!$A:$B,2,0),""),IF(L209&lt;&gt;"","_",""),IF(L209&lt;&gt;"",VLOOKUP(L209,Desagregations!$A:$B,2,0),""),IF(M209&lt;&gt;"","_",""),IF(M209&lt;&gt;"",VLOOKUP(M209,Desagregations!$A:$B,2,0),""),IF(N209&lt;&gt;"","_",""),IF(N209&lt;&gt;"",VLOOKUP(N209,Desagregations!$A:$B,2,0),""),IF(O209&lt;&gt;"","_",""),IF(O209&lt;&gt;"",VLOOKUP(O209,Desagregations!$A:$B,2,0),""),IF(P209&lt;&gt;"","_",""),IF(P209&lt;&gt;"",VLOOKUP(P209,Desagregations!$A:$B,2,0),"")),"-",VLOOKUP(D209,Unites!$A:$B,2,0),"-",VLOOKUP(E209,Sources!$A:$B,2,0),"-",VLOOKUP(F209,CommentaireValeurIndicateurs!$A:$B,2,0),"-",VLOOKUP(G209,NatureDonnees!$A:$B,2,0),"-",VLOOKUP(H209,Periodes!$A:$B,2,0))</f>
        <v>1311-1-6-4-46-3-1-28</v>
      </c>
      <c r="B209" s="2" t="s">
        <v>67</v>
      </c>
      <c r="C209" s="4" t="s">
        <v>136</v>
      </c>
      <c r="D209" t="s">
        <v>125</v>
      </c>
      <c r="E209" t="s">
        <v>120</v>
      </c>
      <c r="F209" s="4" t="s">
        <v>399</v>
      </c>
      <c r="G209" s="4" t="s">
        <v>400</v>
      </c>
      <c r="H209">
        <v>2027</v>
      </c>
      <c r="I209">
        <v>95</v>
      </c>
      <c r="K209" t="s">
        <v>77</v>
      </c>
    </row>
    <row r="210" spans="1:11" x14ac:dyDescent="0.25">
      <c r="A210" t="str">
        <f>_xlfn.CONCAT(VLOOKUP(B210,Indicateurs!$A:$B,2,0),"-",VLOOKUP(C210,Zones!$A:$B,2,0),"-",_xlfn.CONCAT(IF(K210&lt;&gt;"",VLOOKUP(K210,Desagregations!$A:$B,2,0),""),IF(L210&lt;&gt;"","_",""),IF(L210&lt;&gt;"",VLOOKUP(L210,Desagregations!$A:$B,2,0),""),IF(M210&lt;&gt;"","_",""),IF(M210&lt;&gt;"",VLOOKUP(M210,Desagregations!$A:$B,2,0),""),IF(N210&lt;&gt;"","_",""),IF(N210&lt;&gt;"",VLOOKUP(N210,Desagregations!$A:$B,2,0),""),IF(O210&lt;&gt;"","_",""),IF(O210&lt;&gt;"",VLOOKUP(O210,Desagregations!$A:$B,2,0),""),IF(P210&lt;&gt;"","_",""),IF(P210&lt;&gt;"",VLOOKUP(P210,Desagregations!$A:$B,2,0),"")),"-",VLOOKUP(D210,Unites!$A:$B,2,0),"-",VLOOKUP(E210,Sources!$A:$B,2,0),"-",VLOOKUP(F210,CommentaireValeurIndicateurs!$A:$B,2,0),"-",VLOOKUP(G210,NatureDonnees!$A:$B,2,0),"-",VLOOKUP(H210,Periodes!$A:$B,2,0))</f>
        <v>1312-1-6-4-46-3-1-28</v>
      </c>
      <c r="B210" s="2" t="s">
        <v>68</v>
      </c>
      <c r="C210" s="4" t="s">
        <v>136</v>
      </c>
      <c r="D210" t="s">
        <v>125</v>
      </c>
      <c r="E210" t="s">
        <v>120</v>
      </c>
      <c r="F210" s="4" t="s">
        <v>399</v>
      </c>
      <c r="G210" s="4" t="s">
        <v>400</v>
      </c>
      <c r="H210">
        <v>2027</v>
      </c>
      <c r="I210">
        <v>60.21</v>
      </c>
      <c r="K210" t="s">
        <v>77</v>
      </c>
    </row>
    <row r="211" spans="1:11" x14ac:dyDescent="0.25">
      <c r="A211" t="str">
        <f>_xlfn.CONCAT(VLOOKUP(B211,Indicateurs!$A:$B,2,0),"-",VLOOKUP(C211,Zones!$A:$B,2,0),"-",_xlfn.CONCAT(IF(K211&lt;&gt;"",VLOOKUP(K211,Desagregations!$A:$B,2,0),""),IF(L211&lt;&gt;"","_",""),IF(L211&lt;&gt;"",VLOOKUP(L211,Desagregations!$A:$B,2,0),""),IF(M211&lt;&gt;"","_",""),IF(M211&lt;&gt;"",VLOOKUP(M211,Desagregations!$A:$B,2,0),""),IF(N211&lt;&gt;"","_",""),IF(N211&lt;&gt;"",VLOOKUP(N211,Desagregations!$A:$B,2,0),""),IF(O211&lt;&gt;"","_",""),IF(O211&lt;&gt;"",VLOOKUP(O211,Desagregations!$A:$B,2,0),""),IF(P211&lt;&gt;"","_",""),IF(P211&lt;&gt;"",VLOOKUP(P211,Desagregations!$A:$B,2,0),"")),"-",VLOOKUP(D211,Unites!$A:$B,2,0),"-",VLOOKUP(E211,Sources!$A:$B,2,0),"-",VLOOKUP(F211,CommentaireValeurIndicateurs!$A:$B,2,0),"-",VLOOKUP(G211,NatureDonnees!$A:$B,2,0),"-",VLOOKUP(H211,Periodes!$A:$B,2,0))</f>
        <v>1313-1-6-4-47-3-1-28</v>
      </c>
      <c r="B211" s="2" t="s">
        <v>69</v>
      </c>
      <c r="C211" s="4" t="s">
        <v>136</v>
      </c>
      <c r="D211" t="s">
        <v>125</v>
      </c>
      <c r="E211" t="s">
        <v>121</v>
      </c>
      <c r="F211" s="4" t="s">
        <v>399</v>
      </c>
      <c r="G211" s="4" t="s">
        <v>400</v>
      </c>
      <c r="H211">
        <v>2027</v>
      </c>
      <c r="I211">
        <v>22</v>
      </c>
      <c r="K211" t="s">
        <v>77</v>
      </c>
    </row>
    <row r="212" spans="1:11" x14ac:dyDescent="0.25">
      <c r="A212" t="str">
        <f>_xlfn.CONCAT(VLOOKUP(B212,Indicateurs!$A:$B,2,0),"-",VLOOKUP(C212,Zones!$A:$B,2,0),"-",_xlfn.CONCAT(IF(K212&lt;&gt;"",VLOOKUP(K212,Desagregations!$A:$B,2,0),""),IF(L212&lt;&gt;"","_",""),IF(L212&lt;&gt;"",VLOOKUP(L212,Desagregations!$A:$B,2,0),""),IF(M212&lt;&gt;"","_",""),IF(M212&lt;&gt;"",VLOOKUP(M212,Desagregations!$A:$B,2,0),""),IF(N212&lt;&gt;"","_",""),IF(N212&lt;&gt;"",VLOOKUP(N212,Desagregations!$A:$B,2,0),""),IF(O212&lt;&gt;"","_",""),IF(O212&lt;&gt;"",VLOOKUP(O212,Desagregations!$A:$B,2,0),""),IF(P212&lt;&gt;"","_",""),IF(P212&lt;&gt;"",VLOOKUP(P212,Desagregations!$A:$B,2,0),"")),"-",VLOOKUP(D212,Unites!$A:$B,2,0),"-",VLOOKUP(E212,Sources!$A:$B,2,0),"-",VLOOKUP(F212,CommentaireValeurIndicateurs!$A:$B,2,0),"-",VLOOKUP(G212,NatureDonnees!$A:$B,2,0),"-",VLOOKUP(H212,Periodes!$A:$B,2,0))</f>
        <v>1314-1-6-4-48-3-1-28</v>
      </c>
      <c r="B212" s="2" t="s">
        <v>70</v>
      </c>
      <c r="C212" s="4" t="s">
        <v>136</v>
      </c>
      <c r="D212" t="s">
        <v>125</v>
      </c>
      <c r="E212" t="s">
        <v>122</v>
      </c>
      <c r="F212" s="4" t="s">
        <v>399</v>
      </c>
      <c r="G212" s="4" t="s">
        <v>400</v>
      </c>
      <c r="H212">
        <v>2027</v>
      </c>
      <c r="I212">
        <v>40</v>
      </c>
      <c r="K212" t="s">
        <v>77</v>
      </c>
    </row>
    <row r="213" spans="1:11" x14ac:dyDescent="0.25">
      <c r="A213" t="str">
        <f>_xlfn.CONCAT(VLOOKUP(B213,Indicateurs!$A:$B,2,0),"-",VLOOKUP(C213,Zones!$A:$B,2,0),"-",_xlfn.CONCAT(IF(K213&lt;&gt;"",VLOOKUP(K213,Desagregations!$A:$B,2,0),""),IF(L213&lt;&gt;"","_",""),IF(L213&lt;&gt;"",VLOOKUP(L213,Desagregations!$A:$B,2,0),""),IF(M213&lt;&gt;"","_",""),IF(M213&lt;&gt;"",VLOOKUP(M213,Desagregations!$A:$B,2,0),""),IF(N213&lt;&gt;"","_",""),IF(N213&lt;&gt;"",VLOOKUP(N213,Desagregations!$A:$B,2,0),""),IF(O213&lt;&gt;"","_",""),IF(O213&lt;&gt;"",VLOOKUP(O213,Desagregations!$A:$B,2,0),""),IF(P213&lt;&gt;"","_",""),IF(P213&lt;&gt;"",VLOOKUP(P213,Desagregations!$A:$B,2,0),"")),"-",VLOOKUP(D213,Unites!$A:$B,2,0),"-",VLOOKUP(E213,Sources!$A:$B,2,0),"-",VLOOKUP(F213,CommentaireValeurIndicateurs!$A:$B,2,0),"-",VLOOKUP(G213,NatureDonnees!$A:$B,2,0),"-",VLOOKUP(H213,Periodes!$A:$B,2,0))</f>
        <v>1315-1-6-4-49-3-1-28</v>
      </c>
      <c r="B213" s="2" t="s">
        <v>71</v>
      </c>
      <c r="C213" s="4" t="s">
        <v>136</v>
      </c>
      <c r="D213" t="s">
        <v>125</v>
      </c>
      <c r="E213" t="s">
        <v>123</v>
      </c>
      <c r="F213" s="4" t="s">
        <v>399</v>
      </c>
      <c r="G213" s="4" t="s">
        <v>400</v>
      </c>
      <c r="H213">
        <v>2027</v>
      </c>
      <c r="I213">
        <v>66.84</v>
      </c>
      <c r="K213" t="s">
        <v>77</v>
      </c>
    </row>
    <row r="214" spans="1:11" x14ac:dyDescent="0.25">
      <c r="A214" t="str">
        <f>_xlfn.CONCAT(VLOOKUP(B214,Indicateurs!$A:$B,2,0),"-",VLOOKUP(C214,Zones!$A:$B,2,0),"-",_xlfn.CONCAT(IF(K214&lt;&gt;"",VLOOKUP(K214,Desagregations!$A:$B,2,0),""),IF(L214&lt;&gt;"","_",""),IF(L214&lt;&gt;"",VLOOKUP(L214,Desagregations!$A:$B,2,0),""),IF(M214&lt;&gt;"","_",""),IF(M214&lt;&gt;"",VLOOKUP(M214,Desagregations!$A:$B,2,0),""),IF(N214&lt;&gt;"","_",""),IF(N214&lt;&gt;"",VLOOKUP(N214,Desagregations!$A:$B,2,0),""),IF(O214&lt;&gt;"","_",""),IF(O214&lt;&gt;"",VLOOKUP(O214,Desagregations!$A:$B,2,0),""),IF(P214&lt;&gt;"","_",""),IF(P214&lt;&gt;"",VLOOKUP(P214,Desagregations!$A:$B,2,0),"")),"-",VLOOKUP(D214,Unites!$A:$B,2,0),"-",VLOOKUP(E214,Sources!$A:$B,2,0),"-",VLOOKUP(F214,CommentaireValeurIndicateurs!$A:$B,2,0),"-",VLOOKUP(G214,NatureDonnees!$A:$B,2,0),"-",VLOOKUP(H214,Periodes!$A:$B,2,0))</f>
        <v>1316-1-6-4-50-3-1-28</v>
      </c>
      <c r="B214" s="2" t="s">
        <v>72</v>
      </c>
      <c r="C214" s="4" t="s">
        <v>136</v>
      </c>
      <c r="D214" t="s">
        <v>125</v>
      </c>
      <c r="E214" t="s">
        <v>124</v>
      </c>
      <c r="F214" s="4" t="s">
        <v>399</v>
      </c>
      <c r="G214" s="4" t="s">
        <v>400</v>
      </c>
      <c r="H214">
        <v>2027</v>
      </c>
      <c r="I214">
        <v>65</v>
      </c>
      <c r="K214" t="s">
        <v>77</v>
      </c>
    </row>
    <row r="215" spans="1:11" x14ac:dyDescent="0.25">
      <c r="A215" t="str">
        <f>_xlfn.CONCAT(VLOOKUP(B215,Indicateurs!$A:$B,2,0),"-",VLOOKUP(C215,Zones!$A:$B,2,0),"-",_xlfn.CONCAT(IF(K215&lt;&gt;"",VLOOKUP(K215,Desagregations!$A:$B,2,0),""),IF(L215&lt;&gt;"","_",""),IF(L215&lt;&gt;"",VLOOKUP(L215,Desagregations!$A:$B,2,0),""),IF(M215&lt;&gt;"","_",""),IF(M215&lt;&gt;"",VLOOKUP(M215,Desagregations!$A:$B,2,0),""),IF(N215&lt;&gt;"","_",""),IF(N215&lt;&gt;"",VLOOKUP(N215,Desagregations!$A:$B,2,0),""),IF(O215&lt;&gt;"","_",""),IF(O215&lt;&gt;"",VLOOKUP(O215,Desagregations!$A:$B,2,0),""),IF(P215&lt;&gt;"","_",""),IF(P215&lt;&gt;"",VLOOKUP(P215,Desagregations!$A:$B,2,0),"")),"-",VLOOKUP(D215,Unites!$A:$B,2,0),"-",VLOOKUP(E215,Sources!$A:$B,2,0),"-",VLOOKUP(F215,CommentaireValeurIndicateurs!$A:$B,2,0),"-",VLOOKUP(G215,NatureDonnees!$A:$B,2,0),"-",VLOOKUP(H215,Periodes!$A:$B,2,0))</f>
        <v>1246-1-6-4-4-3-1-29</v>
      </c>
      <c r="B215" s="2" t="s">
        <v>2</v>
      </c>
      <c r="C215" s="4" t="s">
        <v>136</v>
      </c>
      <c r="D215" t="s">
        <v>125</v>
      </c>
      <c r="E215" t="s">
        <v>78</v>
      </c>
      <c r="F215" s="4" t="s">
        <v>399</v>
      </c>
      <c r="G215" s="4" t="s">
        <v>400</v>
      </c>
      <c r="H215">
        <v>2028</v>
      </c>
      <c r="I215">
        <v>35.909999999999997</v>
      </c>
      <c r="K215" t="s">
        <v>77</v>
      </c>
    </row>
    <row r="216" spans="1:11" x14ac:dyDescent="0.25">
      <c r="A216" t="str">
        <f>_xlfn.CONCAT(VLOOKUP(B216,Indicateurs!$A:$B,2,0),"-",VLOOKUP(C216,Zones!$A:$B,2,0),"-",_xlfn.CONCAT(IF(K216&lt;&gt;"",VLOOKUP(K216,Desagregations!$A:$B,2,0),""),IF(L216&lt;&gt;"","_",""),IF(L216&lt;&gt;"",VLOOKUP(L216,Desagregations!$A:$B,2,0),""),IF(M216&lt;&gt;"","_",""),IF(M216&lt;&gt;"",VLOOKUP(M216,Desagregations!$A:$B,2,0),""),IF(N216&lt;&gt;"","_",""),IF(N216&lt;&gt;"",VLOOKUP(N216,Desagregations!$A:$B,2,0),""),IF(O216&lt;&gt;"","_",""),IF(O216&lt;&gt;"",VLOOKUP(O216,Desagregations!$A:$B,2,0),""),IF(P216&lt;&gt;"","_",""),IF(P216&lt;&gt;"",VLOOKUP(P216,Desagregations!$A:$B,2,0),"")),"-",VLOOKUP(D216,Unites!$A:$B,2,0),"-",VLOOKUP(E216,Sources!$A:$B,2,0),"-",VLOOKUP(F216,CommentaireValeurIndicateurs!$A:$B,2,0),"-",VLOOKUP(G216,NatureDonnees!$A:$B,2,0),"-",VLOOKUP(H216,Periodes!$A:$B,2,0))</f>
        <v>1247-1-6-4-4-3-1-29</v>
      </c>
      <c r="B216" s="2" t="s">
        <v>3</v>
      </c>
      <c r="C216" s="4" t="s">
        <v>136</v>
      </c>
      <c r="D216" t="s">
        <v>125</v>
      </c>
      <c r="E216" t="s">
        <v>78</v>
      </c>
      <c r="F216" s="4" t="s">
        <v>399</v>
      </c>
      <c r="G216" s="4" t="s">
        <v>400</v>
      </c>
      <c r="H216">
        <v>2028</v>
      </c>
      <c r="I216">
        <v>63.23</v>
      </c>
      <c r="K216" t="s">
        <v>77</v>
      </c>
    </row>
    <row r="217" spans="1:11" x14ac:dyDescent="0.25">
      <c r="A217" t="str">
        <f>_xlfn.CONCAT(VLOOKUP(B217,Indicateurs!$A:$B,2,0),"-",VLOOKUP(C217,Zones!$A:$B,2,0),"-",_xlfn.CONCAT(IF(K217&lt;&gt;"",VLOOKUP(K217,Desagregations!$A:$B,2,0),""),IF(L217&lt;&gt;"","_",""),IF(L217&lt;&gt;"",VLOOKUP(L217,Desagregations!$A:$B,2,0),""),IF(M217&lt;&gt;"","_",""),IF(M217&lt;&gt;"",VLOOKUP(M217,Desagregations!$A:$B,2,0),""),IF(N217&lt;&gt;"","_",""),IF(N217&lt;&gt;"",VLOOKUP(N217,Desagregations!$A:$B,2,0),""),IF(O217&lt;&gt;"","_",""),IF(O217&lt;&gt;"",VLOOKUP(O217,Desagregations!$A:$B,2,0),""),IF(P217&lt;&gt;"","_",""),IF(P217&lt;&gt;"",VLOOKUP(P217,Desagregations!$A:$B,2,0),"")),"-",VLOOKUP(D217,Unites!$A:$B,2,0),"-",VLOOKUP(E217,Sources!$A:$B,2,0),"-",VLOOKUP(F217,CommentaireValeurIndicateurs!$A:$B,2,0),"-",VLOOKUP(G217,NatureDonnees!$A:$B,2,0),"-",VLOOKUP(H217,Periodes!$A:$B,2,0))</f>
        <v>1248-1-6-5-5-3-1-29</v>
      </c>
      <c r="B217" s="2" t="s">
        <v>4</v>
      </c>
      <c r="C217" s="4" t="s">
        <v>136</v>
      </c>
      <c r="D217" t="s">
        <v>126</v>
      </c>
      <c r="E217" t="s">
        <v>79</v>
      </c>
      <c r="F217" s="4" t="s">
        <v>399</v>
      </c>
      <c r="G217" s="4" t="s">
        <v>400</v>
      </c>
      <c r="H217">
        <v>2028</v>
      </c>
      <c r="I217">
        <v>66.81</v>
      </c>
      <c r="K217" t="s">
        <v>77</v>
      </c>
    </row>
    <row r="218" spans="1:11" x14ac:dyDescent="0.25">
      <c r="A218" t="str">
        <f>_xlfn.CONCAT(VLOOKUP(B218,Indicateurs!$A:$B,2,0),"-",VLOOKUP(C218,Zones!$A:$B,2,0),"-",_xlfn.CONCAT(IF(K218&lt;&gt;"",VLOOKUP(K218,Desagregations!$A:$B,2,0),""),IF(L218&lt;&gt;"","_",""),IF(L218&lt;&gt;"",VLOOKUP(L218,Desagregations!$A:$B,2,0),""),IF(M218&lt;&gt;"","_",""),IF(M218&lt;&gt;"",VLOOKUP(M218,Desagregations!$A:$B,2,0),""),IF(N218&lt;&gt;"","_",""),IF(N218&lt;&gt;"",VLOOKUP(N218,Desagregations!$A:$B,2,0),""),IF(O218&lt;&gt;"","_",""),IF(O218&lt;&gt;"",VLOOKUP(O218,Desagregations!$A:$B,2,0),""),IF(P218&lt;&gt;"","_",""),IF(P218&lt;&gt;"",VLOOKUP(P218,Desagregations!$A:$B,2,0),"")),"-",VLOOKUP(D218,Unites!$A:$B,2,0),"-",VLOOKUP(E218,Sources!$A:$B,2,0),"-",VLOOKUP(F218,CommentaireValeurIndicateurs!$A:$B,2,0),"-",VLOOKUP(G218,NatureDonnees!$A:$B,2,0),"-",VLOOKUP(H218,Periodes!$A:$B,2,0))</f>
        <v>1249-1-6-4-4-3-1-29</v>
      </c>
      <c r="B218" s="2" t="s">
        <v>5</v>
      </c>
      <c r="C218" s="4" t="s">
        <v>136</v>
      </c>
      <c r="D218" t="s">
        <v>125</v>
      </c>
      <c r="E218" t="s">
        <v>78</v>
      </c>
      <c r="F218" s="4" t="s">
        <v>399</v>
      </c>
      <c r="G218" s="4" t="s">
        <v>400</v>
      </c>
      <c r="H218">
        <v>2028</v>
      </c>
      <c r="I218">
        <v>87.71</v>
      </c>
      <c r="K218" t="s">
        <v>77</v>
      </c>
    </row>
    <row r="219" spans="1:11" x14ac:dyDescent="0.25">
      <c r="A219" t="str">
        <f>_xlfn.CONCAT(VLOOKUP(B219,Indicateurs!$A:$B,2,0),"-",VLOOKUP(C219,Zones!$A:$B,2,0),"-",_xlfn.CONCAT(IF(K219&lt;&gt;"",VLOOKUP(K219,Desagregations!$A:$B,2,0),""),IF(L219&lt;&gt;"","_",""),IF(L219&lt;&gt;"",VLOOKUP(L219,Desagregations!$A:$B,2,0),""),IF(M219&lt;&gt;"","_",""),IF(M219&lt;&gt;"",VLOOKUP(M219,Desagregations!$A:$B,2,0),""),IF(N219&lt;&gt;"","_",""),IF(N219&lt;&gt;"",VLOOKUP(N219,Desagregations!$A:$B,2,0),""),IF(O219&lt;&gt;"","_",""),IF(O219&lt;&gt;"",VLOOKUP(O219,Desagregations!$A:$B,2,0),""),IF(P219&lt;&gt;"","_",""),IF(P219&lt;&gt;"",VLOOKUP(P219,Desagregations!$A:$B,2,0),"")),"-",VLOOKUP(D219,Unites!$A:$B,2,0),"-",VLOOKUP(E219,Sources!$A:$B,2,0),"-",VLOOKUP(F219,CommentaireValeurIndicateurs!$A:$B,2,0),"-",VLOOKUP(G219,NatureDonnees!$A:$B,2,0),"-",VLOOKUP(H219,Periodes!$A:$B,2,0))</f>
        <v>1250-1-6-4-6-3-1-29</v>
      </c>
      <c r="B219" s="2" t="s">
        <v>6</v>
      </c>
      <c r="C219" s="4" t="s">
        <v>136</v>
      </c>
      <c r="D219" t="s">
        <v>125</v>
      </c>
      <c r="E219" t="s">
        <v>80</v>
      </c>
      <c r="F219" s="4" t="s">
        <v>399</v>
      </c>
      <c r="G219" s="4" t="s">
        <v>400</v>
      </c>
      <c r="H219">
        <v>2028</v>
      </c>
      <c r="I219">
        <v>5.3</v>
      </c>
      <c r="K219" t="s">
        <v>77</v>
      </c>
    </row>
    <row r="220" spans="1:11" x14ac:dyDescent="0.25">
      <c r="A220" t="str">
        <f>_xlfn.CONCAT(VLOOKUP(B220,Indicateurs!$A:$B,2,0),"-",VLOOKUP(C220,Zones!$A:$B,2,0),"-",_xlfn.CONCAT(IF(K220&lt;&gt;"",VLOOKUP(K220,Desagregations!$A:$B,2,0),""),IF(L220&lt;&gt;"","_",""),IF(L220&lt;&gt;"",VLOOKUP(L220,Desagregations!$A:$B,2,0),""),IF(M220&lt;&gt;"","_",""),IF(M220&lt;&gt;"",VLOOKUP(M220,Desagregations!$A:$B,2,0),""),IF(N220&lt;&gt;"","_",""),IF(N220&lt;&gt;"",VLOOKUP(N220,Desagregations!$A:$B,2,0),""),IF(O220&lt;&gt;"","_",""),IF(O220&lt;&gt;"",VLOOKUP(O220,Desagregations!$A:$B,2,0),""),IF(P220&lt;&gt;"","_",""),IF(P220&lt;&gt;"",VLOOKUP(P220,Desagregations!$A:$B,2,0),"")),"-",VLOOKUP(D220,Unites!$A:$B,2,0),"-",VLOOKUP(E220,Sources!$A:$B,2,0),"-",VLOOKUP(F220,CommentaireValeurIndicateurs!$A:$B,2,0),"-",VLOOKUP(G220,NatureDonnees!$A:$B,2,0),"-",VLOOKUP(H220,Periodes!$A:$B,2,0))</f>
        <v>1251-1-6-4-7-3-1-29</v>
      </c>
      <c r="B220" s="2" t="s">
        <v>7</v>
      </c>
      <c r="C220" s="4" t="s">
        <v>136</v>
      </c>
      <c r="D220" t="s">
        <v>125</v>
      </c>
      <c r="E220" t="s">
        <v>81</v>
      </c>
      <c r="F220" s="4" t="s">
        <v>399</v>
      </c>
      <c r="G220" s="4" t="s">
        <v>400</v>
      </c>
      <c r="H220">
        <v>2028</v>
      </c>
      <c r="I220">
        <v>58.7</v>
      </c>
      <c r="K220" t="s">
        <v>77</v>
      </c>
    </row>
    <row r="221" spans="1:11" x14ac:dyDescent="0.25">
      <c r="A221" t="str">
        <f>_xlfn.CONCAT(VLOOKUP(B221,Indicateurs!$A:$B,2,0),"-",VLOOKUP(C221,Zones!$A:$B,2,0),"-",_xlfn.CONCAT(IF(K221&lt;&gt;"",VLOOKUP(K221,Desagregations!$A:$B,2,0),""),IF(L221&lt;&gt;"","_",""),IF(L221&lt;&gt;"",VLOOKUP(L221,Desagregations!$A:$B,2,0),""),IF(M221&lt;&gt;"","_",""),IF(M221&lt;&gt;"",VLOOKUP(M221,Desagregations!$A:$B,2,0),""),IF(N221&lt;&gt;"","_",""),IF(N221&lt;&gt;"",VLOOKUP(N221,Desagregations!$A:$B,2,0),""),IF(O221&lt;&gt;"","_",""),IF(O221&lt;&gt;"",VLOOKUP(O221,Desagregations!$A:$B,2,0),""),IF(P221&lt;&gt;"","_",""),IF(P221&lt;&gt;"",VLOOKUP(P221,Desagregations!$A:$B,2,0),"")),"-",VLOOKUP(D221,Unites!$A:$B,2,0),"-",VLOOKUP(E221,Sources!$A:$B,2,0),"-",VLOOKUP(F221,CommentaireValeurIndicateurs!$A:$B,2,0),"-",VLOOKUP(G221,NatureDonnees!$A:$B,2,0),"-",VLOOKUP(H221,Periodes!$A:$B,2,0))</f>
        <v>1252-1-6-4-8-3-1-29</v>
      </c>
      <c r="B221" s="2" t="s">
        <v>8</v>
      </c>
      <c r="C221" s="4" t="s">
        <v>136</v>
      </c>
      <c r="D221" t="s">
        <v>125</v>
      </c>
      <c r="E221" t="s">
        <v>82</v>
      </c>
      <c r="F221" s="4" t="s">
        <v>399</v>
      </c>
      <c r="G221" s="4" t="s">
        <v>400</v>
      </c>
      <c r="H221">
        <v>2028</v>
      </c>
      <c r="I221">
        <v>15.95</v>
      </c>
      <c r="K221" t="s">
        <v>77</v>
      </c>
    </row>
    <row r="222" spans="1:11" x14ac:dyDescent="0.25">
      <c r="A222" t="str">
        <f>_xlfn.CONCAT(VLOOKUP(B222,Indicateurs!$A:$B,2,0),"-",VLOOKUP(C222,Zones!$A:$B,2,0),"-",_xlfn.CONCAT(IF(K222&lt;&gt;"",VLOOKUP(K222,Desagregations!$A:$B,2,0),""),IF(L222&lt;&gt;"","_",""),IF(L222&lt;&gt;"",VLOOKUP(L222,Desagregations!$A:$B,2,0),""),IF(M222&lt;&gt;"","_",""),IF(M222&lt;&gt;"",VLOOKUP(M222,Desagregations!$A:$B,2,0),""),IF(N222&lt;&gt;"","_",""),IF(N222&lt;&gt;"",VLOOKUP(N222,Desagregations!$A:$B,2,0),""),IF(O222&lt;&gt;"","_",""),IF(O222&lt;&gt;"",VLOOKUP(O222,Desagregations!$A:$B,2,0),""),IF(P222&lt;&gt;"","_",""),IF(P222&lt;&gt;"",VLOOKUP(P222,Desagregations!$A:$B,2,0),"")),"-",VLOOKUP(D222,Unites!$A:$B,2,0),"-",VLOOKUP(E222,Sources!$A:$B,2,0),"-",VLOOKUP(F222,CommentaireValeurIndicateurs!$A:$B,2,0),"-",VLOOKUP(G222,NatureDonnees!$A:$B,2,0),"-",VLOOKUP(H222,Periodes!$A:$B,2,0))</f>
        <v>1253-1-6-4-8-3-1-29</v>
      </c>
      <c r="B222" s="2" t="s">
        <v>9</v>
      </c>
      <c r="C222" s="4" t="s">
        <v>136</v>
      </c>
      <c r="D222" t="s">
        <v>125</v>
      </c>
      <c r="E222" t="s">
        <v>82</v>
      </c>
      <c r="F222" s="4" t="s">
        <v>399</v>
      </c>
      <c r="G222" s="4" t="s">
        <v>400</v>
      </c>
      <c r="H222">
        <v>2028</v>
      </c>
      <c r="I222">
        <v>25.66</v>
      </c>
      <c r="K222" t="s">
        <v>77</v>
      </c>
    </row>
    <row r="223" spans="1:11" x14ac:dyDescent="0.25">
      <c r="A223" t="str">
        <f>_xlfn.CONCAT(VLOOKUP(B223,Indicateurs!$A:$B,2,0),"-",VLOOKUP(C223,Zones!$A:$B,2,0),"-",_xlfn.CONCAT(IF(K223&lt;&gt;"",VLOOKUP(K223,Desagregations!$A:$B,2,0),""),IF(L223&lt;&gt;"","_",""),IF(L223&lt;&gt;"",VLOOKUP(L223,Desagregations!$A:$B,2,0),""),IF(M223&lt;&gt;"","_",""),IF(M223&lt;&gt;"",VLOOKUP(M223,Desagregations!$A:$B,2,0),""),IF(N223&lt;&gt;"","_",""),IF(N223&lt;&gt;"",VLOOKUP(N223,Desagregations!$A:$B,2,0),""),IF(O223&lt;&gt;"","_",""),IF(O223&lt;&gt;"",VLOOKUP(O223,Desagregations!$A:$B,2,0),""),IF(P223&lt;&gt;"","_",""),IF(P223&lt;&gt;"",VLOOKUP(P223,Desagregations!$A:$B,2,0),"")),"-",VLOOKUP(D223,Unites!$A:$B,2,0),"-",VLOOKUP(E223,Sources!$A:$B,2,0),"-",VLOOKUP(F223,CommentaireValeurIndicateurs!$A:$B,2,0),"-",VLOOKUP(G223,NatureDonnees!$A:$B,2,0),"-",VLOOKUP(H223,Periodes!$A:$B,2,0))</f>
        <v>1254-1-6-4-4-3-1-29</v>
      </c>
      <c r="B223" s="2" t="s">
        <v>10</v>
      </c>
      <c r="C223" s="4" t="s">
        <v>136</v>
      </c>
      <c r="D223" t="s">
        <v>125</v>
      </c>
      <c r="E223" t="s">
        <v>78</v>
      </c>
      <c r="F223" s="4" t="s">
        <v>399</v>
      </c>
      <c r="G223" s="4" t="s">
        <v>400</v>
      </c>
      <c r="H223">
        <v>2028</v>
      </c>
      <c r="I223">
        <v>20.74</v>
      </c>
      <c r="K223" t="s">
        <v>77</v>
      </c>
    </row>
    <row r="224" spans="1:11" x14ac:dyDescent="0.25">
      <c r="A224" t="str">
        <f>_xlfn.CONCAT(VLOOKUP(B224,Indicateurs!$A:$B,2,0),"-",VLOOKUP(C224,Zones!$A:$B,2,0),"-",_xlfn.CONCAT(IF(K224&lt;&gt;"",VLOOKUP(K224,Desagregations!$A:$B,2,0),""),IF(L224&lt;&gt;"","_",""),IF(L224&lt;&gt;"",VLOOKUP(L224,Desagregations!$A:$B,2,0),""),IF(M224&lt;&gt;"","_",""),IF(M224&lt;&gt;"",VLOOKUP(M224,Desagregations!$A:$B,2,0),""),IF(N224&lt;&gt;"","_",""),IF(N224&lt;&gt;"",VLOOKUP(N224,Desagregations!$A:$B,2,0),""),IF(O224&lt;&gt;"","_",""),IF(O224&lt;&gt;"",VLOOKUP(O224,Desagregations!$A:$B,2,0),""),IF(P224&lt;&gt;"","_",""),IF(P224&lt;&gt;"",VLOOKUP(P224,Desagregations!$A:$B,2,0),"")),"-",VLOOKUP(D224,Unites!$A:$B,2,0),"-",VLOOKUP(E224,Sources!$A:$B,2,0),"-",VLOOKUP(F224,CommentaireValeurIndicateurs!$A:$B,2,0),"-",VLOOKUP(G224,NatureDonnees!$A:$B,2,0),"-",VLOOKUP(H224,Periodes!$A:$B,2,0))</f>
        <v>1255-1-6-4-4-3-1-29</v>
      </c>
      <c r="B224" s="2" t="s">
        <v>11</v>
      </c>
      <c r="C224" s="4" t="s">
        <v>136</v>
      </c>
      <c r="D224" t="s">
        <v>125</v>
      </c>
      <c r="E224" t="s">
        <v>78</v>
      </c>
      <c r="F224" s="4" t="s">
        <v>399</v>
      </c>
      <c r="G224" s="4" t="s">
        <v>400</v>
      </c>
      <c r="H224">
        <v>2028</v>
      </c>
      <c r="I224">
        <v>87.23</v>
      </c>
      <c r="K224" t="s">
        <v>77</v>
      </c>
    </row>
    <row r="225" spans="1:11" x14ac:dyDescent="0.25">
      <c r="A225" t="str">
        <f>_xlfn.CONCAT(VLOOKUP(B225,Indicateurs!$A:$B,2,0),"-",VLOOKUP(C225,Zones!$A:$B,2,0),"-",_xlfn.CONCAT(IF(K225&lt;&gt;"",VLOOKUP(K225,Desagregations!$A:$B,2,0),""),IF(L225&lt;&gt;"","_",""),IF(L225&lt;&gt;"",VLOOKUP(L225,Desagregations!$A:$B,2,0),""),IF(M225&lt;&gt;"","_",""),IF(M225&lt;&gt;"",VLOOKUP(M225,Desagregations!$A:$B,2,0),""),IF(N225&lt;&gt;"","_",""),IF(N225&lt;&gt;"",VLOOKUP(N225,Desagregations!$A:$B,2,0),""),IF(O225&lt;&gt;"","_",""),IF(O225&lt;&gt;"",VLOOKUP(O225,Desagregations!$A:$B,2,0),""),IF(P225&lt;&gt;"","_",""),IF(P225&lt;&gt;"",VLOOKUP(P225,Desagregations!$A:$B,2,0),"")),"-",VLOOKUP(D225,Unites!$A:$B,2,0),"-",VLOOKUP(E225,Sources!$A:$B,2,0),"-",VLOOKUP(F225,CommentaireValeurIndicateurs!$A:$B,2,0),"-",VLOOKUP(G225,NatureDonnees!$A:$B,2,0),"-",VLOOKUP(H225,Periodes!$A:$B,2,0))</f>
        <v>1256-1-6-4-9-3-1-29</v>
      </c>
      <c r="B225" s="2" t="s">
        <v>12</v>
      </c>
      <c r="C225" s="4" t="s">
        <v>136</v>
      </c>
      <c r="D225" s="4" t="s">
        <v>125</v>
      </c>
      <c r="E225" t="s">
        <v>83</v>
      </c>
      <c r="F225" s="4" t="s">
        <v>399</v>
      </c>
      <c r="G225" s="4" t="s">
        <v>400</v>
      </c>
      <c r="H225">
        <v>2028</v>
      </c>
      <c r="I225">
        <v>80</v>
      </c>
      <c r="K225" t="s">
        <v>77</v>
      </c>
    </row>
    <row r="226" spans="1:11" x14ac:dyDescent="0.25">
      <c r="A226" t="str">
        <f>_xlfn.CONCAT(VLOOKUP(B226,Indicateurs!$A:$B,2,0),"-",VLOOKUP(C226,Zones!$A:$B,2,0),"-",_xlfn.CONCAT(IF(K226&lt;&gt;"",VLOOKUP(K226,Desagregations!$A:$B,2,0),""),IF(L226&lt;&gt;"","_",""),IF(L226&lt;&gt;"",VLOOKUP(L226,Desagregations!$A:$B,2,0),""),IF(M226&lt;&gt;"","_",""),IF(M226&lt;&gt;"",VLOOKUP(M226,Desagregations!$A:$B,2,0),""),IF(N226&lt;&gt;"","_",""),IF(N226&lt;&gt;"",VLOOKUP(N226,Desagregations!$A:$B,2,0),""),IF(O226&lt;&gt;"","_",""),IF(O226&lt;&gt;"",VLOOKUP(O226,Desagregations!$A:$B,2,0),""),IF(P226&lt;&gt;"","_",""),IF(P226&lt;&gt;"",VLOOKUP(P226,Desagregations!$A:$B,2,0),"")),"-",VLOOKUP(D226,Unites!$A:$B,2,0),"-",VLOOKUP(E226,Sources!$A:$B,2,0),"-",VLOOKUP(F226,CommentaireValeurIndicateurs!$A:$B,2,0),"-",VLOOKUP(G226,NatureDonnees!$A:$B,2,0),"-",VLOOKUP(H226,Periodes!$A:$B,2,0))</f>
        <v>1257-1-6-6-10-3-1-29</v>
      </c>
      <c r="B226" s="2" t="s">
        <v>13</v>
      </c>
      <c r="C226" s="4" t="s">
        <v>136</v>
      </c>
      <c r="D226" t="s">
        <v>127</v>
      </c>
      <c r="E226" t="s">
        <v>84</v>
      </c>
      <c r="F226" s="4" t="s">
        <v>399</v>
      </c>
      <c r="G226" s="4" t="s">
        <v>400</v>
      </c>
      <c r="H226">
        <v>2028</v>
      </c>
      <c r="I226">
        <v>15</v>
      </c>
      <c r="K226" t="s">
        <v>77</v>
      </c>
    </row>
    <row r="227" spans="1:11" x14ac:dyDescent="0.25">
      <c r="A227" t="str">
        <f>_xlfn.CONCAT(VLOOKUP(B227,Indicateurs!$A:$B,2,0),"-",VLOOKUP(C227,Zones!$A:$B,2,0),"-",_xlfn.CONCAT(IF(K227&lt;&gt;"",VLOOKUP(K227,Desagregations!$A:$B,2,0),""),IF(L227&lt;&gt;"","_",""),IF(L227&lt;&gt;"",VLOOKUP(L227,Desagregations!$A:$B,2,0),""),IF(M227&lt;&gt;"","_",""),IF(M227&lt;&gt;"",VLOOKUP(M227,Desagregations!$A:$B,2,0),""),IF(N227&lt;&gt;"","_",""),IF(N227&lt;&gt;"",VLOOKUP(N227,Desagregations!$A:$B,2,0),""),IF(O227&lt;&gt;"","_",""),IF(O227&lt;&gt;"",VLOOKUP(O227,Desagregations!$A:$B,2,0),""),IF(P227&lt;&gt;"","_",""),IF(P227&lt;&gt;"",VLOOKUP(P227,Desagregations!$A:$B,2,0),"")),"-",VLOOKUP(D227,Unites!$A:$B,2,0),"-",VLOOKUP(E227,Sources!$A:$B,2,0),"-",VLOOKUP(F227,CommentaireValeurIndicateurs!$A:$B,2,0),"-",VLOOKUP(G227,NatureDonnees!$A:$B,2,0),"-",VLOOKUP(H227,Periodes!$A:$B,2,0))</f>
        <v>1258-1-6-4-10-3-1-29</v>
      </c>
      <c r="B227" s="2" t="s">
        <v>14</v>
      </c>
      <c r="C227" s="4" t="s">
        <v>136</v>
      </c>
      <c r="D227" t="s">
        <v>125</v>
      </c>
      <c r="E227" t="s">
        <v>84</v>
      </c>
      <c r="F227" s="4" t="s">
        <v>399</v>
      </c>
      <c r="G227" s="4" t="s">
        <v>400</v>
      </c>
      <c r="H227">
        <v>2028</v>
      </c>
      <c r="I227">
        <v>73</v>
      </c>
      <c r="K227" t="s">
        <v>77</v>
      </c>
    </row>
    <row r="228" spans="1:11" x14ac:dyDescent="0.25">
      <c r="A228" t="str">
        <f>_xlfn.CONCAT(VLOOKUP(B228,Indicateurs!$A:$B,2,0),"-",VLOOKUP(C228,Zones!$A:$B,2,0),"-",_xlfn.CONCAT(IF(K228&lt;&gt;"",VLOOKUP(K228,Desagregations!$A:$B,2,0),""),IF(L228&lt;&gt;"","_",""),IF(L228&lt;&gt;"",VLOOKUP(L228,Desagregations!$A:$B,2,0),""),IF(M228&lt;&gt;"","_",""),IF(M228&lt;&gt;"",VLOOKUP(M228,Desagregations!$A:$B,2,0),""),IF(N228&lt;&gt;"","_",""),IF(N228&lt;&gt;"",VLOOKUP(N228,Desagregations!$A:$B,2,0),""),IF(O228&lt;&gt;"","_",""),IF(O228&lt;&gt;"",VLOOKUP(O228,Desagregations!$A:$B,2,0),""),IF(P228&lt;&gt;"","_",""),IF(P228&lt;&gt;"",VLOOKUP(P228,Desagregations!$A:$B,2,0),"")),"-",VLOOKUP(D228,Unites!$A:$B,2,0),"-",VLOOKUP(E228,Sources!$A:$B,2,0),"-",VLOOKUP(F228,CommentaireValeurIndicateurs!$A:$B,2,0),"-",VLOOKUP(G228,NatureDonnees!$A:$B,2,0),"-",VLOOKUP(H228,Periodes!$A:$B,2,0))</f>
        <v>1259-1-6-4-4-3-1-29</v>
      </c>
      <c r="B228" s="2" t="s">
        <v>15</v>
      </c>
      <c r="C228" s="4" t="s">
        <v>136</v>
      </c>
      <c r="D228" t="s">
        <v>125</v>
      </c>
      <c r="E228" t="s">
        <v>78</v>
      </c>
      <c r="F228" s="4" t="s">
        <v>399</v>
      </c>
      <c r="G228" s="4" t="s">
        <v>400</v>
      </c>
      <c r="H228">
        <v>2028</v>
      </c>
      <c r="I228">
        <v>48.7</v>
      </c>
      <c r="K228" t="s">
        <v>77</v>
      </c>
    </row>
    <row r="229" spans="1:11" x14ac:dyDescent="0.25">
      <c r="A229" t="str">
        <f>_xlfn.CONCAT(VLOOKUP(B229,Indicateurs!$A:$B,2,0),"-",VLOOKUP(C229,Zones!$A:$B,2,0),"-",_xlfn.CONCAT(IF(K229&lt;&gt;"",VLOOKUP(K229,Desagregations!$A:$B,2,0),""),IF(L229&lt;&gt;"","_",""),IF(L229&lt;&gt;"",VLOOKUP(L229,Desagregations!$A:$B,2,0),""),IF(M229&lt;&gt;"","_",""),IF(M229&lt;&gt;"",VLOOKUP(M229,Desagregations!$A:$B,2,0),""),IF(N229&lt;&gt;"","_",""),IF(N229&lt;&gt;"",VLOOKUP(N229,Desagregations!$A:$B,2,0),""),IF(O229&lt;&gt;"","_",""),IF(O229&lt;&gt;"",VLOOKUP(O229,Desagregations!$A:$B,2,0),""),IF(P229&lt;&gt;"","_",""),IF(P229&lt;&gt;"",VLOOKUP(P229,Desagregations!$A:$B,2,0),"")),"-",VLOOKUP(D229,Unites!$A:$B,2,0),"-",VLOOKUP(E229,Sources!$A:$B,2,0),"-",VLOOKUP(F229,CommentaireValeurIndicateurs!$A:$B,2,0),"-",VLOOKUP(G229,NatureDonnees!$A:$B,2,0),"-",VLOOKUP(H229,Periodes!$A:$B,2,0))</f>
        <v>1260-1-6-7-11-3-1-29</v>
      </c>
      <c r="B229" s="2" t="s">
        <v>16</v>
      </c>
      <c r="C229" s="4" t="s">
        <v>136</v>
      </c>
      <c r="D229" t="s">
        <v>128</v>
      </c>
      <c r="E229" t="s">
        <v>85</v>
      </c>
      <c r="F229" s="4" t="s">
        <v>399</v>
      </c>
      <c r="G229" s="4" t="s">
        <v>400</v>
      </c>
      <c r="H229">
        <v>2028</v>
      </c>
      <c r="I229">
        <v>6</v>
      </c>
      <c r="K229" t="s">
        <v>77</v>
      </c>
    </row>
    <row r="230" spans="1:11" x14ac:dyDescent="0.25">
      <c r="A230" t="str">
        <f>_xlfn.CONCAT(VLOOKUP(B230,Indicateurs!$A:$B,2,0),"-",VLOOKUP(C230,Zones!$A:$B,2,0),"-",_xlfn.CONCAT(IF(K230&lt;&gt;"",VLOOKUP(K230,Desagregations!$A:$B,2,0),""),IF(L230&lt;&gt;"","_",""),IF(L230&lt;&gt;"",VLOOKUP(L230,Desagregations!$A:$B,2,0),""),IF(M230&lt;&gt;"","_",""),IF(M230&lt;&gt;"",VLOOKUP(M230,Desagregations!$A:$B,2,0),""),IF(N230&lt;&gt;"","_",""),IF(N230&lt;&gt;"",VLOOKUP(N230,Desagregations!$A:$B,2,0),""),IF(O230&lt;&gt;"","_",""),IF(O230&lt;&gt;"",VLOOKUP(O230,Desagregations!$A:$B,2,0),""),IF(P230&lt;&gt;"","_",""),IF(P230&lt;&gt;"",VLOOKUP(P230,Desagregations!$A:$B,2,0),"")),"-",VLOOKUP(D230,Unites!$A:$B,2,0),"-",VLOOKUP(E230,Sources!$A:$B,2,0),"-",VLOOKUP(F230,CommentaireValeurIndicateurs!$A:$B,2,0),"-",VLOOKUP(G230,NatureDonnees!$A:$B,2,0),"-",VLOOKUP(H230,Periodes!$A:$B,2,0))</f>
        <v>1261-1-6-4-12-3-1-29</v>
      </c>
      <c r="B230" s="2" t="s">
        <v>17</v>
      </c>
      <c r="C230" s="4" t="s">
        <v>136</v>
      </c>
      <c r="D230" t="s">
        <v>125</v>
      </c>
      <c r="E230" t="s">
        <v>86</v>
      </c>
      <c r="F230" s="4" t="s">
        <v>399</v>
      </c>
      <c r="G230" s="4" t="s">
        <v>400</v>
      </c>
      <c r="H230">
        <v>2028</v>
      </c>
      <c r="I230">
        <v>90</v>
      </c>
      <c r="K230" t="s">
        <v>77</v>
      </c>
    </row>
    <row r="231" spans="1:11" x14ac:dyDescent="0.25">
      <c r="A231" t="str">
        <f>_xlfn.CONCAT(VLOOKUP(B231,Indicateurs!$A:$B,2,0),"-",VLOOKUP(C231,Zones!$A:$B,2,0),"-",_xlfn.CONCAT(IF(K231&lt;&gt;"",VLOOKUP(K231,Desagregations!$A:$B,2,0),""),IF(L231&lt;&gt;"","_",""),IF(L231&lt;&gt;"",VLOOKUP(L231,Desagregations!$A:$B,2,0),""),IF(M231&lt;&gt;"","_",""),IF(M231&lt;&gt;"",VLOOKUP(M231,Desagregations!$A:$B,2,0),""),IF(N231&lt;&gt;"","_",""),IF(N231&lt;&gt;"",VLOOKUP(N231,Desagregations!$A:$B,2,0),""),IF(O231&lt;&gt;"","_",""),IF(O231&lt;&gt;"",VLOOKUP(O231,Desagregations!$A:$B,2,0),""),IF(P231&lt;&gt;"","_",""),IF(P231&lt;&gt;"",VLOOKUP(P231,Desagregations!$A:$B,2,0),"")),"-",VLOOKUP(D231,Unites!$A:$B,2,0),"-",VLOOKUP(E231,Sources!$A:$B,2,0),"-",VLOOKUP(F231,CommentaireValeurIndicateurs!$A:$B,2,0),"-",VLOOKUP(G231,NatureDonnees!$A:$B,2,0),"-",VLOOKUP(H231,Periodes!$A:$B,2,0))</f>
        <v>1262-1-6-4-13-3-1-29</v>
      </c>
      <c r="B231" s="3" t="s">
        <v>18</v>
      </c>
      <c r="C231" s="4" t="s">
        <v>136</v>
      </c>
      <c r="D231" t="s">
        <v>125</v>
      </c>
      <c r="E231" t="s">
        <v>87</v>
      </c>
      <c r="F231" s="4" t="s">
        <v>399</v>
      </c>
      <c r="G231" s="4" t="s">
        <v>400</v>
      </c>
      <c r="H231">
        <v>2028</v>
      </c>
      <c r="I231">
        <v>96</v>
      </c>
      <c r="K231" t="s">
        <v>77</v>
      </c>
    </row>
    <row r="232" spans="1:11" x14ac:dyDescent="0.25">
      <c r="A232" t="str">
        <f>_xlfn.CONCAT(VLOOKUP(B232,Indicateurs!$A:$B,2,0),"-",VLOOKUP(C232,Zones!$A:$B,2,0),"-",_xlfn.CONCAT(IF(K232&lt;&gt;"",VLOOKUP(K232,Desagregations!$A:$B,2,0),""),IF(L232&lt;&gt;"","_",""),IF(L232&lt;&gt;"",VLOOKUP(L232,Desagregations!$A:$B,2,0),""),IF(M232&lt;&gt;"","_",""),IF(M232&lt;&gt;"",VLOOKUP(M232,Desagregations!$A:$B,2,0),""),IF(N232&lt;&gt;"","_",""),IF(N232&lt;&gt;"",VLOOKUP(N232,Desagregations!$A:$B,2,0),""),IF(O232&lt;&gt;"","_",""),IF(O232&lt;&gt;"",VLOOKUP(O232,Desagregations!$A:$B,2,0),""),IF(P232&lt;&gt;"","_",""),IF(P232&lt;&gt;"",VLOOKUP(P232,Desagregations!$A:$B,2,0),"")),"-",VLOOKUP(D232,Unites!$A:$B,2,0),"-",VLOOKUP(E232,Sources!$A:$B,2,0),"-",VLOOKUP(F232,CommentaireValeurIndicateurs!$A:$B,2,0),"-",VLOOKUP(G232,NatureDonnees!$A:$B,2,0),"-",VLOOKUP(H232,Periodes!$A:$B,2,0))</f>
        <v>1263-1-6-4-10-3-1-29</v>
      </c>
      <c r="B232" s="2" t="s">
        <v>19</v>
      </c>
      <c r="C232" s="4" t="s">
        <v>136</v>
      </c>
      <c r="D232" t="s">
        <v>125</v>
      </c>
      <c r="E232" t="s">
        <v>84</v>
      </c>
      <c r="F232" s="4" t="s">
        <v>399</v>
      </c>
      <c r="G232" s="4" t="s">
        <v>400</v>
      </c>
      <c r="H232">
        <v>2028</v>
      </c>
      <c r="I232">
        <v>100</v>
      </c>
      <c r="K232" t="s">
        <v>77</v>
      </c>
    </row>
    <row r="233" spans="1:11" x14ac:dyDescent="0.25">
      <c r="A233" t="str">
        <f>_xlfn.CONCAT(VLOOKUP(B233,Indicateurs!$A:$B,2,0),"-",VLOOKUP(C233,Zones!$A:$B,2,0),"-",_xlfn.CONCAT(IF(K233&lt;&gt;"",VLOOKUP(K233,Desagregations!$A:$B,2,0),""),IF(L233&lt;&gt;"","_",""),IF(L233&lt;&gt;"",VLOOKUP(L233,Desagregations!$A:$B,2,0),""),IF(M233&lt;&gt;"","_",""),IF(M233&lt;&gt;"",VLOOKUP(M233,Desagregations!$A:$B,2,0),""),IF(N233&lt;&gt;"","_",""),IF(N233&lt;&gt;"",VLOOKUP(N233,Desagregations!$A:$B,2,0),""),IF(O233&lt;&gt;"","_",""),IF(O233&lt;&gt;"",VLOOKUP(O233,Desagregations!$A:$B,2,0),""),IF(P233&lt;&gt;"","_",""),IF(P233&lt;&gt;"",VLOOKUP(P233,Desagregations!$A:$B,2,0),"")),"-",VLOOKUP(D233,Unites!$A:$B,2,0),"-",VLOOKUP(E233,Sources!$A:$B,2,0),"-",VLOOKUP(F233,CommentaireValeurIndicateurs!$A:$B,2,0),"-",VLOOKUP(G233,NatureDonnees!$A:$B,2,0),"-",VLOOKUP(H233,Periodes!$A:$B,2,0))</f>
        <v>1264-1-6-4-10-3-1-29</v>
      </c>
      <c r="B233" s="2" t="s">
        <v>20</v>
      </c>
      <c r="C233" s="4" t="s">
        <v>136</v>
      </c>
      <c r="D233" t="s">
        <v>125</v>
      </c>
      <c r="E233" t="s">
        <v>84</v>
      </c>
      <c r="F233" s="4" t="s">
        <v>399</v>
      </c>
      <c r="G233" s="4" t="s">
        <v>400</v>
      </c>
      <c r="H233">
        <v>2028</v>
      </c>
      <c r="I233">
        <v>50</v>
      </c>
      <c r="K233" t="s">
        <v>77</v>
      </c>
    </row>
    <row r="234" spans="1:11" x14ac:dyDescent="0.25">
      <c r="A234" t="str">
        <f>_xlfn.CONCAT(VLOOKUP(B234,Indicateurs!$A:$B,2,0),"-",VLOOKUP(C234,Zones!$A:$B,2,0),"-",_xlfn.CONCAT(IF(K234&lt;&gt;"",VLOOKUP(K234,Desagregations!$A:$B,2,0),""),IF(L234&lt;&gt;"","_",""),IF(L234&lt;&gt;"",VLOOKUP(L234,Desagregations!$A:$B,2,0),""),IF(M234&lt;&gt;"","_",""),IF(M234&lt;&gt;"",VLOOKUP(M234,Desagregations!$A:$B,2,0),""),IF(N234&lt;&gt;"","_",""),IF(N234&lt;&gt;"",VLOOKUP(N234,Desagregations!$A:$B,2,0),""),IF(O234&lt;&gt;"","_",""),IF(O234&lt;&gt;"",VLOOKUP(O234,Desagregations!$A:$B,2,0),""),IF(P234&lt;&gt;"","_",""),IF(P234&lt;&gt;"",VLOOKUP(P234,Desagregations!$A:$B,2,0),"")),"-",VLOOKUP(D234,Unites!$A:$B,2,0),"-",VLOOKUP(E234,Sources!$A:$B,2,0),"-",VLOOKUP(F234,CommentaireValeurIndicateurs!$A:$B,2,0),"-",VLOOKUP(G234,NatureDonnees!$A:$B,2,0),"-",VLOOKUP(H234,Periodes!$A:$B,2,0))</f>
        <v>1265-1-6-4-14-3-1-29</v>
      </c>
      <c r="B234" s="2" t="s">
        <v>21</v>
      </c>
      <c r="C234" s="4" t="s">
        <v>136</v>
      </c>
      <c r="D234" t="s">
        <v>125</v>
      </c>
      <c r="E234" t="s">
        <v>88</v>
      </c>
      <c r="F234" s="4" t="s">
        <v>399</v>
      </c>
      <c r="G234" s="4" t="s">
        <v>400</v>
      </c>
      <c r="H234">
        <v>2028</v>
      </c>
      <c r="I234">
        <v>95</v>
      </c>
      <c r="K234" t="s">
        <v>77</v>
      </c>
    </row>
    <row r="235" spans="1:11" x14ac:dyDescent="0.25">
      <c r="A235" t="str">
        <f>_xlfn.CONCAT(VLOOKUP(B235,Indicateurs!$A:$B,2,0),"-",VLOOKUP(C235,Zones!$A:$B,2,0),"-",_xlfn.CONCAT(IF(K235&lt;&gt;"",VLOOKUP(K235,Desagregations!$A:$B,2,0),""),IF(L235&lt;&gt;"","_",""),IF(L235&lt;&gt;"",VLOOKUP(L235,Desagregations!$A:$B,2,0),""),IF(M235&lt;&gt;"","_",""),IF(M235&lt;&gt;"",VLOOKUP(M235,Desagregations!$A:$B,2,0),""),IF(N235&lt;&gt;"","_",""),IF(N235&lt;&gt;"",VLOOKUP(N235,Desagregations!$A:$B,2,0),""),IF(O235&lt;&gt;"","_",""),IF(O235&lt;&gt;"",VLOOKUP(O235,Desagregations!$A:$B,2,0),""),IF(P235&lt;&gt;"","_",""),IF(P235&lt;&gt;"",VLOOKUP(P235,Desagregations!$A:$B,2,0),"")),"-",VLOOKUP(D235,Unites!$A:$B,2,0),"-",VLOOKUP(E235,Sources!$A:$B,2,0),"-",VLOOKUP(F235,CommentaireValeurIndicateurs!$A:$B,2,0),"-",VLOOKUP(G235,NatureDonnees!$A:$B,2,0),"-",VLOOKUP(H235,Periodes!$A:$B,2,0))</f>
        <v>1266-1-6-8-15-3-1-29</v>
      </c>
      <c r="B235" s="3" t="s">
        <v>22</v>
      </c>
      <c r="C235" s="4" t="s">
        <v>136</v>
      </c>
      <c r="D235" t="s">
        <v>129</v>
      </c>
      <c r="E235" t="s">
        <v>89</v>
      </c>
      <c r="F235" s="4" t="s">
        <v>399</v>
      </c>
      <c r="G235" s="4" t="s">
        <v>400</v>
      </c>
      <c r="H235">
        <v>2028</v>
      </c>
      <c r="I235">
        <v>105</v>
      </c>
      <c r="K235" t="s">
        <v>77</v>
      </c>
    </row>
    <row r="236" spans="1:11" x14ac:dyDescent="0.25">
      <c r="A236" t="str">
        <f>_xlfn.CONCAT(VLOOKUP(B236,Indicateurs!$A:$B,2,0),"-",VLOOKUP(C236,Zones!$A:$B,2,0),"-",_xlfn.CONCAT(IF(K236&lt;&gt;"",VLOOKUP(K236,Desagregations!$A:$B,2,0),""),IF(L236&lt;&gt;"","_",""),IF(L236&lt;&gt;"",VLOOKUP(L236,Desagregations!$A:$B,2,0),""),IF(M236&lt;&gt;"","_",""),IF(M236&lt;&gt;"",VLOOKUP(M236,Desagregations!$A:$B,2,0),""),IF(N236&lt;&gt;"","_",""),IF(N236&lt;&gt;"",VLOOKUP(N236,Desagregations!$A:$B,2,0),""),IF(O236&lt;&gt;"","_",""),IF(O236&lt;&gt;"",VLOOKUP(O236,Desagregations!$A:$B,2,0),""),IF(P236&lt;&gt;"","_",""),IF(P236&lt;&gt;"",VLOOKUP(P236,Desagregations!$A:$B,2,0),"")),"-",VLOOKUP(D236,Unites!$A:$B,2,0),"-",VLOOKUP(E236,Sources!$A:$B,2,0),"-",VLOOKUP(F236,CommentaireValeurIndicateurs!$A:$B,2,0),"-",VLOOKUP(G236,NatureDonnees!$A:$B,2,0),"-",VLOOKUP(H236,Periodes!$A:$B,2,0))</f>
        <v>1267-1-6-4-16-3-1-29</v>
      </c>
      <c r="B236" s="2" t="s">
        <v>23</v>
      </c>
      <c r="C236" s="4" t="s">
        <v>136</v>
      </c>
      <c r="D236" t="s">
        <v>125</v>
      </c>
      <c r="E236" t="s">
        <v>90</v>
      </c>
      <c r="F236" s="4" t="s">
        <v>399</v>
      </c>
      <c r="G236" s="4" t="s">
        <v>400</v>
      </c>
      <c r="H236">
        <v>2028</v>
      </c>
      <c r="I236">
        <v>6</v>
      </c>
      <c r="K236" t="s">
        <v>77</v>
      </c>
    </row>
    <row r="237" spans="1:11" x14ac:dyDescent="0.25">
      <c r="A237" t="str">
        <f>_xlfn.CONCAT(VLOOKUP(B237,Indicateurs!$A:$B,2,0),"-",VLOOKUP(C237,Zones!$A:$B,2,0),"-",_xlfn.CONCAT(IF(K237&lt;&gt;"",VLOOKUP(K237,Desagregations!$A:$B,2,0),""),IF(L237&lt;&gt;"","_",""),IF(L237&lt;&gt;"",VLOOKUP(L237,Desagregations!$A:$B,2,0),""),IF(M237&lt;&gt;"","_",""),IF(M237&lt;&gt;"",VLOOKUP(M237,Desagregations!$A:$B,2,0),""),IF(N237&lt;&gt;"","_",""),IF(N237&lt;&gt;"",VLOOKUP(N237,Desagregations!$A:$B,2,0),""),IF(O237&lt;&gt;"","_",""),IF(O237&lt;&gt;"",VLOOKUP(O237,Desagregations!$A:$B,2,0),""),IF(P237&lt;&gt;"","_",""),IF(P237&lt;&gt;"",VLOOKUP(P237,Desagregations!$A:$B,2,0),"")),"-",VLOOKUP(D237,Unites!$A:$B,2,0),"-",VLOOKUP(E237,Sources!$A:$B,2,0),"-",VLOOKUP(F237,CommentaireValeurIndicateurs!$A:$B,2,0),"-",VLOOKUP(G237,NatureDonnees!$A:$B,2,0),"-",VLOOKUP(H237,Periodes!$A:$B,2,0))</f>
        <v>1268-1-6-9-4-3-1-29</v>
      </c>
      <c r="B237" s="2" t="s">
        <v>24</v>
      </c>
      <c r="C237" s="4" t="s">
        <v>136</v>
      </c>
      <c r="D237" t="s">
        <v>130</v>
      </c>
      <c r="E237" t="s">
        <v>78</v>
      </c>
      <c r="F237" s="4" t="s">
        <v>399</v>
      </c>
      <c r="G237" s="4" t="s">
        <v>400</v>
      </c>
      <c r="H237">
        <v>2028</v>
      </c>
      <c r="I237">
        <v>0.28799999999999998</v>
      </c>
      <c r="K237" t="s">
        <v>77</v>
      </c>
    </row>
    <row r="238" spans="1:11" x14ac:dyDescent="0.25">
      <c r="A238" t="str">
        <f>_xlfn.CONCAT(VLOOKUP(B238,Indicateurs!$A:$B,2,0),"-",VLOOKUP(C238,Zones!$A:$B,2,0),"-",_xlfn.CONCAT(IF(K238&lt;&gt;"",VLOOKUP(K238,Desagregations!$A:$B,2,0),""),IF(L238&lt;&gt;"","_",""),IF(L238&lt;&gt;"",VLOOKUP(L238,Desagregations!$A:$B,2,0),""),IF(M238&lt;&gt;"","_",""),IF(M238&lt;&gt;"",VLOOKUP(M238,Desagregations!$A:$B,2,0),""),IF(N238&lt;&gt;"","_",""),IF(N238&lt;&gt;"",VLOOKUP(N238,Desagregations!$A:$B,2,0),""),IF(O238&lt;&gt;"","_",""),IF(O238&lt;&gt;"",VLOOKUP(O238,Desagregations!$A:$B,2,0),""),IF(P238&lt;&gt;"","_",""),IF(P238&lt;&gt;"",VLOOKUP(P238,Desagregations!$A:$B,2,0),"")),"-",VLOOKUP(D238,Unites!$A:$B,2,0),"-",VLOOKUP(E238,Sources!$A:$B,2,0),"-",VLOOKUP(F238,CommentaireValeurIndicateurs!$A:$B,2,0),"-",VLOOKUP(G238,NatureDonnees!$A:$B,2,0),"-",VLOOKUP(H238,Periodes!$A:$B,2,0))</f>
        <v>1269-1-6-4-17-3-1-29</v>
      </c>
      <c r="B238" s="2" t="s">
        <v>25</v>
      </c>
      <c r="C238" s="4" t="s">
        <v>136</v>
      </c>
      <c r="D238" t="s">
        <v>125</v>
      </c>
      <c r="E238" t="s">
        <v>91</v>
      </c>
      <c r="F238" s="4" t="s">
        <v>399</v>
      </c>
      <c r="G238" s="4" t="s">
        <v>400</v>
      </c>
      <c r="H238">
        <v>2028</v>
      </c>
      <c r="I238">
        <v>95</v>
      </c>
      <c r="K238" t="s">
        <v>77</v>
      </c>
    </row>
    <row r="239" spans="1:11" x14ac:dyDescent="0.25">
      <c r="A239" t="str">
        <f>_xlfn.CONCAT(VLOOKUP(B239,Indicateurs!$A:$B,2,0),"-",VLOOKUP(C239,Zones!$A:$B,2,0),"-",_xlfn.CONCAT(IF(K239&lt;&gt;"",VLOOKUP(K239,Desagregations!$A:$B,2,0),""),IF(L239&lt;&gt;"","_",""),IF(L239&lt;&gt;"",VLOOKUP(L239,Desagregations!$A:$B,2,0),""),IF(M239&lt;&gt;"","_",""),IF(M239&lt;&gt;"",VLOOKUP(M239,Desagregations!$A:$B,2,0),""),IF(N239&lt;&gt;"","_",""),IF(N239&lt;&gt;"",VLOOKUP(N239,Desagregations!$A:$B,2,0),""),IF(O239&lt;&gt;"","_",""),IF(O239&lt;&gt;"",VLOOKUP(O239,Desagregations!$A:$B,2,0),""),IF(P239&lt;&gt;"","_",""),IF(P239&lt;&gt;"",VLOOKUP(P239,Desagregations!$A:$B,2,0),"")),"-",VLOOKUP(D239,Unites!$A:$B,2,0),"-",VLOOKUP(E239,Sources!$A:$B,2,0),"-",VLOOKUP(F239,CommentaireValeurIndicateurs!$A:$B,2,0),"-",VLOOKUP(G239,NatureDonnees!$A:$B,2,0),"-",VLOOKUP(H239,Periodes!$A:$B,2,0))</f>
        <v>1270-1-6-4-18-3-1-29</v>
      </c>
      <c r="B239" s="2" t="s">
        <v>26</v>
      </c>
      <c r="C239" s="4" t="s">
        <v>136</v>
      </c>
      <c r="D239" t="s">
        <v>125</v>
      </c>
      <c r="E239" t="s">
        <v>92</v>
      </c>
      <c r="F239" s="4" t="s">
        <v>399</v>
      </c>
      <c r="G239" s="4" t="s">
        <v>400</v>
      </c>
      <c r="H239">
        <v>2028</v>
      </c>
      <c r="I239">
        <v>90</v>
      </c>
      <c r="K239" t="s">
        <v>77</v>
      </c>
    </row>
    <row r="240" spans="1:11" x14ac:dyDescent="0.25">
      <c r="A240" t="str">
        <f>_xlfn.CONCAT(VLOOKUP(B240,Indicateurs!$A:$B,2,0),"-",VLOOKUP(C240,Zones!$A:$B,2,0),"-",_xlfn.CONCAT(IF(K240&lt;&gt;"",VLOOKUP(K240,Desagregations!$A:$B,2,0),""),IF(L240&lt;&gt;"","_",""),IF(L240&lt;&gt;"",VLOOKUP(L240,Desagregations!$A:$B,2,0),""),IF(M240&lt;&gt;"","_",""),IF(M240&lt;&gt;"",VLOOKUP(M240,Desagregations!$A:$B,2,0),""),IF(N240&lt;&gt;"","_",""),IF(N240&lt;&gt;"",VLOOKUP(N240,Desagregations!$A:$B,2,0),""),IF(O240&lt;&gt;"","_",""),IF(O240&lt;&gt;"",VLOOKUP(O240,Desagregations!$A:$B,2,0),""),IF(P240&lt;&gt;"","_",""),IF(P240&lt;&gt;"",VLOOKUP(P240,Desagregations!$A:$B,2,0),"")),"-",VLOOKUP(D240,Unites!$A:$B,2,0),"-",VLOOKUP(E240,Sources!$A:$B,2,0),"-",VLOOKUP(F240,CommentaireValeurIndicateurs!$A:$B,2,0),"-",VLOOKUP(G240,NatureDonnees!$A:$B,2,0),"-",VLOOKUP(H240,Periodes!$A:$B,2,0))</f>
        <v>1271-1-6-4-19-3-1-29</v>
      </c>
      <c r="B240" s="3" t="s">
        <v>27</v>
      </c>
      <c r="C240" s="4" t="s">
        <v>136</v>
      </c>
      <c r="D240" t="s">
        <v>125</v>
      </c>
      <c r="E240" t="s">
        <v>93</v>
      </c>
      <c r="F240" s="4" t="s">
        <v>399</v>
      </c>
      <c r="G240" s="4" t="s">
        <v>400</v>
      </c>
      <c r="H240">
        <v>2028</v>
      </c>
      <c r="I240">
        <v>9.6</v>
      </c>
      <c r="K240" t="s">
        <v>77</v>
      </c>
    </row>
    <row r="241" spans="1:11" x14ac:dyDescent="0.25">
      <c r="A241" t="e">
        <f>_xlfn.CONCAT(VLOOKUP(B241,Indicateurs!$A:$B,2,0),"-",VLOOKUP(C241,Zones!$A:$B,2,0),"-",_xlfn.CONCAT(IF(K241&lt;&gt;"",VLOOKUP(K241,Desagregations!$A:$B,2,0),""),IF(L241&lt;&gt;"","_",""),IF(L241&lt;&gt;"",VLOOKUP(L241,Desagregations!$A:$B,2,0),""),IF(M241&lt;&gt;"","_",""),IF(M241&lt;&gt;"",VLOOKUP(M241,Desagregations!$A:$B,2,0),""),IF(N241&lt;&gt;"","_",""),IF(N241&lt;&gt;"",VLOOKUP(N241,Desagregations!$A:$B,2,0),""),IF(O241&lt;&gt;"","_",""),IF(O241&lt;&gt;"",VLOOKUP(O241,Desagregations!$A:$B,2,0),""),IF(P241&lt;&gt;"","_",""),IF(P241&lt;&gt;"",VLOOKUP(P241,Desagregations!$A:$B,2,0),"")),"-",VLOOKUP(D241,Unites!$A:$B,2,0),"-",VLOOKUP(E241,Sources!$A:$B,2,0),"-",VLOOKUP(F241,CommentaireValeurIndicateurs!$A:$B,2,0),"-",VLOOKUP(G241,NatureDonnees!$A:$B,2,0),"-",VLOOKUP(H241,Periodes!$A:$B,2,0))</f>
        <v>#N/A</v>
      </c>
      <c r="B241" s="5" t="s">
        <v>28</v>
      </c>
      <c r="C241" s="4" t="s">
        <v>136</v>
      </c>
      <c r="D241" t="s">
        <v>125</v>
      </c>
      <c r="E241" s="4" t="s">
        <v>94</v>
      </c>
      <c r="F241" s="4" t="s">
        <v>399</v>
      </c>
      <c r="G241" s="4" t="s">
        <v>400</v>
      </c>
      <c r="K241" t="s">
        <v>77</v>
      </c>
    </row>
    <row r="242" spans="1:11" x14ac:dyDescent="0.25">
      <c r="A242" t="str">
        <f>_xlfn.CONCAT(VLOOKUP(B242,Indicateurs!$A:$B,2,0),"-",VLOOKUP(C242,Zones!$A:$B,2,0),"-",_xlfn.CONCAT(IF(K242&lt;&gt;"",VLOOKUP(K242,Desagregations!$A:$B,2,0),""),IF(L242&lt;&gt;"","_",""),IF(L242&lt;&gt;"",VLOOKUP(L242,Desagregations!$A:$B,2,0),""),IF(M242&lt;&gt;"","_",""),IF(M242&lt;&gt;"",VLOOKUP(M242,Desagregations!$A:$B,2,0),""),IF(N242&lt;&gt;"","_",""),IF(N242&lt;&gt;"",VLOOKUP(N242,Desagregations!$A:$B,2,0),""),IF(O242&lt;&gt;"","_",""),IF(O242&lt;&gt;"",VLOOKUP(O242,Desagregations!$A:$B,2,0),""),IF(P242&lt;&gt;"","_",""),IF(P242&lt;&gt;"",VLOOKUP(P242,Desagregations!$A:$B,2,0),"")),"-",VLOOKUP(D242,Unites!$A:$B,2,0),"-",VLOOKUP(E242,Sources!$A:$B,2,0),"-",VLOOKUP(F242,CommentaireValeurIndicateurs!$A:$B,2,0),"-",VLOOKUP(G242,NatureDonnees!$A:$B,2,0),"-",VLOOKUP(H242,Periodes!$A:$B,2,0))</f>
        <v>1273-1-6-4-21-3-1-29</v>
      </c>
      <c r="B242" s="2" t="s">
        <v>29</v>
      </c>
      <c r="C242" s="4" t="s">
        <v>136</v>
      </c>
      <c r="D242" t="s">
        <v>125</v>
      </c>
      <c r="E242" t="s">
        <v>95</v>
      </c>
      <c r="F242" s="4" t="s">
        <v>399</v>
      </c>
      <c r="G242" s="4" t="s">
        <v>400</v>
      </c>
      <c r="H242">
        <v>2028</v>
      </c>
      <c r="I242">
        <v>7.4</v>
      </c>
      <c r="K242" t="s">
        <v>77</v>
      </c>
    </row>
    <row r="243" spans="1:11" x14ac:dyDescent="0.25">
      <c r="A243" t="str">
        <f>_xlfn.CONCAT(VLOOKUP(B243,Indicateurs!$A:$B,2,0),"-",VLOOKUP(C243,Zones!$A:$B,2,0),"-",_xlfn.CONCAT(IF(K243&lt;&gt;"",VLOOKUP(K243,Desagregations!$A:$B,2,0),""),IF(L243&lt;&gt;"","_",""),IF(L243&lt;&gt;"",VLOOKUP(L243,Desagregations!$A:$B,2,0),""),IF(M243&lt;&gt;"","_",""),IF(M243&lt;&gt;"",VLOOKUP(M243,Desagregations!$A:$B,2,0),""),IF(N243&lt;&gt;"","_",""),IF(N243&lt;&gt;"",VLOOKUP(N243,Desagregations!$A:$B,2,0),""),IF(O243&lt;&gt;"","_",""),IF(O243&lt;&gt;"",VLOOKUP(O243,Desagregations!$A:$B,2,0),""),IF(P243&lt;&gt;"","_",""),IF(P243&lt;&gt;"",VLOOKUP(P243,Desagregations!$A:$B,2,0),"")),"-",VLOOKUP(D243,Unites!$A:$B,2,0),"-",VLOOKUP(E243,Sources!$A:$B,2,0),"-",VLOOKUP(F243,CommentaireValeurIndicateurs!$A:$B,2,0),"-",VLOOKUP(G243,NatureDonnees!$A:$B,2,0),"-",VLOOKUP(H243,Periodes!$A:$B,2,0))</f>
        <v>1274-1-6-4-16-3-1-29</v>
      </c>
      <c r="B243" s="2" t="s">
        <v>30</v>
      </c>
      <c r="C243" s="4" t="s">
        <v>136</v>
      </c>
      <c r="D243" t="s">
        <v>125</v>
      </c>
      <c r="E243" t="s">
        <v>90</v>
      </c>
      <c r="F243" s="4" t="s">
        <v>399</v>
      </c>
      <c r="G243" s="4" t="s">
        <v>400</v>
      </c>
      <c r="H243">
        <v>2028</v>
      </c>
      <c r="I243">
        <v>30.37</v>
      </c>
      <c r="K243" t="s">
        <v>77</v>
      </c>
    </row>
    <row r="244" spans="1:11" x14ac:dyDescent="0.25">
      <c r="A244" t="str">
        <f>_xlfn.CONCAT(VLOOKUP(B244,Indicateurs!$A:$B,2,0),"-",VLOOKUP(C244,Zones!$A:$B,2,0),"-",_xlfn.CONCAT(IF(K244&lt;&gt;"",VLOOKUP(K244,Desagregations!$A:$B,2,0),""),IF(L244&lt;&gt;"","_",""),IF(L244&lt;&gt;"",VLOOKUP(L244,Desagregations!$A:$B,2,0),""),IF(M244&lt;&gt;"","_",""),IF(M244&lt;&gt;"",VLOOKUP(M244,Desagregations!$A:$B,2,0),""),IF(N244&lt;&gt;"","_",""),IF(N244&lt;&gt;"",VLOOKUP(N244,Desagregations!$A:$B,2,0),""),IF(O244&lt;&gt;"","_",""),IF(O244&lt;&gt;"",VLOOKUP(O244,Desagregations!$A:$B,2,0),""),IF(P244&lt;&gt;"","_",""),IF(P244&lt;&gt;"",VLOOKUP(P244,Desagregations!$A:$B,2,0),"")),"-",VLOOKUP(D244,Unites!$A:$B,2,0),"-",VLOOKUP(E244,Sources!$A:$B,2,0),"-",VLOOKUP(F244,CommentaireValeurIndicateurs!$A:$B,2,0),"-",VLOOKUP(G244,NatureDonnees!$A:$B,2,0),"-",VLOOKUP(H244,Periodes!$A:$B,2,0))</f>
        <v>1275-1-6-4-22-3-1-29</v>
      </c>
      <c r="B244" s="2" t="s">
        <v>31</v>
      </c>
      <c r="C244" s="4" t="s">
        <v>136</v>
      </c>
      <c r="D244" t="s">
        <v>125</v>
      </c>
      <c r="E244" t="s">
        <v>96</v>
      </c>
      <c r="F244" s="4" t="s">
        <v>399</v>
      </c>
      <c r="G244" s="4" t="s">
        <v>400</v>
      </c>
      <c r="H244">
        <v>2028</v>
      </c>
      <c r="I244">
        <v>53</v>
      </c>
      <c r="K244" t="s">
        <v>77</v>
      </c>
    </row>
    <row r="245" spans="1:11" x14ac:dyDescent="0.25">
      <c r="A245" t="str">
        <f>_xlfn.CONCAT(VLOOKUP(B245,Indicateurs!$A:$B,2,0),"-",VLOOKUP(C245,Zones!$A:$B,2,0),"-",_xlfn.CONCAT(IF(K245&lt;&gt;"",VLOOKUP(K245,Desagregations!$A:$B,2,0),""),IF(L245&lt;&gt;"","_",""),IF(L245&lt;&gt;"",VLOOKUP(L245,Desagregations!$A:$B,2,0),""),IF(M245&lt;&gt;"","_",""),IF(M245&lt;&gt;"",VLOOKUP(M245,Desagregations!$A:$B,2,0),""),IF(N245&lt;&gt;"","_",""),IF(N245&lt;&gt;"",VLOOKUP(N245,Desagregations!$A:$B,2,0),""),IF(O245&lt;&gt;"","_",""),IF(O245&lt;&gt;"",VLOOKUP(O245,Desagregations!$A:$B,2,0),""),IF(P245&lt;&gt;"","_",""),IF(P245&lt;&gt;"",VLOOKUP(P245,Desagregations!$A:$B,2,0),"")),"-",VLOOKUP(D245,Unites!$A:$B,2,0),"-",VLOOKUP(E245,Sources!$A:$B,2,0),"-",VLOOKUP(F245,CommentaireValeurIndicateurs!$A:$B,2,0),"-",VLOOKUP(G245,NatureDonnees!$A:$B,2,0),"-",VLOOKUP(H245,Periodes!$A:$B,2,0))</f>
        <v>1276-1-6-4-22-3-1-29</v>
      </c>
      <c r="B245" s="3" t="s">
        <v>32</v>
      </c>
      <c r="C245" s="4" t="s">
        <v>136</v>
      </c>
      <c r="D245" t="s">
        <v>125</v>
      </c>
      <c r="E245" t="s">
        <v>96</v>
      </c>
      <c r="F245" s="4" t="s">
        <v>399</v>
      </c>
      <c r="G245" s="4" t="s">
        <v>400</v>
      </c>
      <c r="H245">
        <v>2028</v>
      </c>
      <c r="I245">
        <v>14</v>
      </c>
      <c r="K245" t="s">
        <v>77</v>
      </c>
    </row>
    <row r="246" spans="1:11" x14ac:dyDescent="0.25">
      <c r="A246" t="str">
        <f>_xlfn.CONCAT(VLOOKUP(B246,Indicateurs!$A:$B,2,0),"-",VLOOKUP(C246,Zones!$A:$B,2,0),"-",_xlfn.CONCAT(IF(K246&lt;&gt;"",VLOOKUP(K246,Desagregations!$A:$B,2,0),""),IF(L246&lt;&gt;"","_",""),IF(L246&lt;&gt;"",VLOOKUP(L246,Desagregations!$A:$B,2,0),""),IF(M246&lt;&gt;"","_",""),IF(M246&lt;&gt;"",VLOOKUP(M246,Desagregations!$A:$B,2,0),""),IF(N246&lt;&gt;"","_",""),IF(N246&lt;&gt;"",VLOOKUP(N246,Desagregations!$A:$B,2,0),""),IF(O246&lt;&gt;"","_",""),IF(O246&lt;&gt;"",VLOOKUP(O246,Desagregations!$A:$B,2,0),""),IF(P246&lt;&gt;"","_",""),IF(P246&lt;&gt;"",VLOOKUP(P246,Desagregations!$A:$B,2,0),"")),"-",VLOOKUP(D246,Unites!$A:$B,2,0),"-",VLOOKUP(E246,Sources!$A:$B,2,0),"-",VLOOKUP(F246,CommentaireValeurIndicateurs!$A:$B,2,0),"-",VLOOKUP(G246,NatureDonnees!$A:$B,2,0),"-",VLOOKUP(H246,Periodes!$A:$B,2,0))</f>
        <v>1277-1-6-4-22-3-1-29</v>
      </c>
      <c r="B246" s="3" t="s">
        <v>33</v>
      </c>
      <c r="C246" s="4" t="s">
        <v>136</v>
      </c>
      <c r="D246" t="s">
        <v>125</v>
      </c>
      <c r="E246" t="s">
        <v>96</v>
      </c>
      <c r="F246" s="4" t="s">
        <v>399</v>
      </c>
      <c r="G246" s="4" t="s">
        <v>400</v>
      </c>
      <c r="H246">
        <v>2028</v>
      </c>
      <c r="I246">
        <v>5</v>
      </c>
      <c r="K246" t="s">
        <v>77</v>
      </c>
    </row>
    <row r="247" spans="1:11" x14ac:dyDescent="0.25">
      <c r="A247" t="str">
        <f>_xlfn.CONCAT(VLOOKUP(B247,Indicateurs!$A:$B,2,0),"-",VLOOKUP(C247,Zones!$A:$B,2,0),"-",_xlfn.CONCAT(IF(K247&lt;&gt;"",VLOOKUP(K247,Desagregations!$A:$B,2,0),""),IF(L247&lt;&gt;"","_",""),IF(L247&lt;&gt;"",VLOOKUP(L247,Desagregations!$A:$B,2,0),""),IF(M247&lt;&gt;"","_",""),IF(M247&lt;&gt;"",VLOOKUP(M247,Desagregations!$A:$B,2,0),""),IF(N247&lt;&gt;"","_",""),IF(N247&lt;&gt;"",VLOOKUP(N247,Desagregations!$A:$B,2,0),""),IF(O247&lt;&gt;"","_",""),IF(O247&lt;&gt;"",VLOOKUP(O247,Desagregations!$A:$B,2,0),""),IF(P247&lt;&gt;"","_",""),IF(P247&lt;&gt;"",VLOOKUP(P247,Desagregations!$A:$B,2,0),"")),"-",VLOOKUP(D247,Unites!$A:$B,2,0),"-",VLOOKUP(E247,Sources!$A:$B,2,0),"-",VLOOKUP(F247,CommentaireValeurIndicateurs!$A:$B,2,0),"-",VLOOKUP(G247,NatureDonnees!$A:$B,2,0),"-",VLOOKUP(H247,Periodes!$A:$B,2,0))</f>
        <v>1278-1-6-4-16-3-1-29</v>
      </c>
      <c r="B247" s="2" t="s">
        <v>34</v>
      </c>
      <c r="C247" s="4" t="s">
        <v>136</v>
      </c>
      <c r="D247" t="s">
        <v>125</v>
      </c>
      <c r="E247" t="s">
        <v>90</v>
      </c>
      <c r="F247" s="4" t="s">
        <v>399</v>
      </c>
      <c r="G247" s="4" t="s">
        <v>400</v>
      </c>
      <c r="H247">
        <v>2028</v>
      </c>
      <c r="I247">
        <v>6.7</v>
      </c>
      <c r="K247" t="s">
        <v>77</v>
      </c>
    </row>
    <row r="248" spans="1:11" x14ac:dyDescent="0.25">
      <c r="A248" t="str">
        <f>_xlfn.CONCAT(VLOOKUP(B248,Indicateurs!$A:$B,2,0),"-",VLOOKUP(C248,Zones!$A:$B,2,0),"-",_xlfn.CONCAT(IF(K248&lt;&gt;"",VLOOKUP(K248,Desagregations!$A:$B,2,0),""),IF(L248&lt;&gt;"","_",""),IF(L248&lt;&gt;"",VLOOKUP(L248,Desagregations!$A:$B,2,0),""),IF(M248&lt;&gt;"","_",""),IF(M248&lt;&gt;"",VLOOKUP(M248,Desagregations!$A:$B,2,0),""),IF(N248&lt;&gt;"","_",""),IF(N248&lt;&gt;"",VLOOKUP(N248,Desagregations!$A:$B,2,0),""),IF(O248&lt;&gt;"","_",""),IF(O248&lt;&gt;"",VLOOKUP(O248,Desagregations!$A:$B,2,0),""),IF(P248&lt;&gt;"","_",""),IF(P248&lt;&gt;"",VLOOKUP(P248,Desagregations!$A:$B,2,0),"")),"-",VLOOKUP(D248,Unites!$A:$B,2,0),"-",VLOOKUP(E248,Sources!$A:$B,2,0),"-",VLOOKUP(F248,CommentaireValeurIndicateurs!$A:$B,2,0),"-",VLOOKUP(G248,NatureDonnees!$A:$B,2,0),"-",VLOOKUP(H248,Periodes!$A:$B,2,0))</f>
        <v>1279-1-6-4-23-3-1-29</v>
      </c>
      <c r="B248" s="2" t="s">
        <v>35</v>
      </c>
      <c r="C248" s="4" t="s">
        <v>136</v>
      </c>
      <c r="D248" t="s">
        <v>125</v>
      </c>
      <c r="E248" t="s">
        <v>97</v>
      </c>
      <c r="F248" s="4" t="s">
        <v>399</v>
      </c>
      <c r="G248" s="4" t="s">
        <v>400</v>
      </c>
      <c r="H248">
        <v>2028</v>
      </c>
      <c r="I248">
        <v>43.6</v>
      </c>
      <c r="K248" t="s">
        <v>77</v>
      </c>
    </row>
    <row r="249" spans="1:11" x14ac:dyDescent="0.25">
      <c r="A249" t="str">
        <f>_xlfn.CONCAT(VLOOKUP(B249,Indicateurs!$A:$B,2,0),"-",VLOOKUP(C249,Zones!$A:$B,2,0),"-",_xlfn.CONCAT(IF(K249&lt;&gt;"",VLOOKUP(K249,Desagregations!$A:$B,2,0),""),IF(L249&lt;&gt;"","_",""),IF(L249&lt;&gt;"",VLOOKUP(L249,Desagregations!$A:$B,2,0),""),IF(M249&lt;&gt;"","_",""),IF(M249&lt;&gt;"",VLOOKUP(M249,Desagregations!$A:$B,2,0),""),IF(N249&lt;&gt;"","_",""),IF(N249&lt;&gt;"",VLOOKUP(N249,Desagregations!$A:$B,2,0),""),IF(O249&lt;&gt;"","_",""),IF(O249&lt;&gt;"",VLOOKUP(O249,Desagregations!$A:$B,2,0),""),IF(P249&lt;&gt;"","_",""),IF(P249&lt;&gt;"",VLOOKUP(P249,Desagregations!$A:$B,2,0),"")),"-",VLOOKUP(D249,Unites!$A:$B,2,0),"-",VLOOKUP(E249,Sources!$A:$B,2,0),"-",VLOOKUP(F249,CommentaireValeurIndicateurs!$A:$B,2,0),"-",VLOOKUP(G249,NatureDonnees!$A:$B,2,0),"-",VLOOKUP(H249,Periodes!$A:$B,2,0))</f>
        <v>1280-1-6-4-24-3-1-29</v>
      </c>
      <c r="B249" s="2" t="s">
        <v>36</v>
      </c>
      <c r="C249" s="4" t="s">
        <v>136</v>
      </c>
      <c r="D249" t="s">
        <v>125</v>
      </c>
      <c r="E249" t="s">
        <v>98</v>
      </c>
      <c r="F249" s="4" t="s">
        <v>399</v>
      </c>
      <c r="G249" s="4" t="s">
        <v>400</v>
      </c>
      <c r="H249">
        <v>2028</v>
      </c>
      <c r="I249">
        <v>20.5</v>
      </c>
      <c r="K249" t="s">
        <v>77</v>
      </c>
    </row>
    <row r="250" spans="1:11" x14ac:dyDescent="0.25">
      <c r="A250" t="str">
        <f>_xlfn.CONCAT(VLOOKUP(B250,Indicateurs!$A:$B,2,0),"-",VLOOKUP(C250,Zones!$A:$B,2,0),"-",_xlfn.CONCAT(IF(K250&lt;&gt;"",VLOOKUP(K250,Desagregations!$A:$B,2,0),""),IF(L250&lt;&gt;"","_",""),IF(L250&lt;&gt;"",VLOOKUP(L250,Desagregations!$A:$B,2,0),""),IF(M250&lt;&gt;"","_",""),IF(M250&lt;&gt;"",VLOOKUP(M250,Desagregations!$A:$B,2,0),""),IF(N250&lt;&gt;"","_",""),IF(N250&lt;&gt;"",VLOOKUP(N250,Desagregations!$A:$B,2,0),""),IF(O250&lt;&gt;"","_",""),IF(O250&lt;&gt;"",VLOOKUP(O250,Desagregations!$A:$B,2,0),""),IF(P250&lt;&gt;"","_",""),IF(P250&lt;&gt;"",VLOOKUP(P250,Desagregations!$A:$B,2,0),"")),"-",VLOOKUP(D250,Unites!$A:$B,2,0),"-",VLOOKUP(E250,Sources!$A:$B,2,0),"-",VLOOKUP(F250,CommentaireValeurIndicateurs!$A:$B,2,0),"-",VLOOKUP(G250,NatureDonnees!$A:$B,2,0),"-",VLOOKUP(H250,Periodes!$A:$B,2,0))</f>
        <v>1281-1-6-4-25-3-1-29</v>
      </c>
      <c r="B250" s="2" t="s">
        <v>37</v>
      </c>
      <c r="C250" s="4" t="s">
        <v>136</v>
      </c>
      <c r="D250" t="s">
        <v>125</v>
      </c>
      <c r="E250" t="s">
        <v>99</v>
      </c>
      <c r="F250" s="4" t="s">
        <v>399</v>
      </c>
      <c r="G250" s="4" t="s">
        <v>400</v>
      </c>
      <c r="H250">
        <v>2028</v>
      </c>
      <c r="I250">
        <v>42</v>
      </c>
      <c r="K250" t="s">
        <v>77</v>
      </c>
    </row>
    <row r="251" spans="1:11" x14ac:dyDescent="0.25">
      <c r="A251" t="str">
        <f>_xlfn.CONCAT(VLOOKUP(B251,Indicateurs!$A:$B,2,0),"-",VLOOKUP(C251,Zones!$A:$B,2,0),"-",_xlfn.CONCAT(IF(K251&lt;&gt;"",VLOOKUP(K251,Desagregations!$A:$B,2,0),""),IF(L251&lt;&gt;"","_",""),IF(L251&lt;&gt;"",VLOOKUP(L251,Desagregations!$A:$B,2,0),""),IF(M251&lt;&gt;"","_",""),IF(M251&lt;&gt;"",VLOOKUP(M251,Desagregations!$A:$B,2,0),""),IF(N251&lt;&gt;"","_",""),IF(N251&lt;&gt;"",VLOOKUP(N251,Desagregations!$A:$B,2,0),""),IF(O251&lt;&gt;"","_",""),IF(O251&lt;&gt;"",VLOOKUP(O251,Desagregations!$A:$B,2,0),""),IF(P251&lt;&gt;"","_",""),IF(P251&lt;&gt;"",VLOOKUP(P251,Desagregations!$A:$B,2,0),"")),"-",VLOOKUP(D251,Unites!$A:$B,2,0),"-",VLOOKUP(E251,Sources!$A:$B,2,0),"-",VLOOKUP(F251,CommentaireValeurIndicateurs!$A:$B,2,0),"-",VLOOKUP(G251,NatureDonnees!$A:$B,2,0),"-",VLOOKUP(H251,Periodes!$A:$B,2,0))</f>
        <v>1282-1-6-4-25-3-1-29</v>
      </c>
      <c r="B251" s="2" t="s">
        <v>38</v>
      </c>
      <c r="C251" s="4" t="s">
        <v>136</v>
      </c>
      <c r="D251" t="s">
        <v>125</v>
      </c>
      <c r="E251" t="s">
        <v>99</v>
      </c>
      <c r="F251" s="4" t="s">
        <v>399</v>
      </c>
      <c r="G251" s="4" t="s">
        <v>400</v>
      </c>
      <c r="H251">
        <v>2028</v>
      </c>
      <c r="I251">
        <v>63</v>
      </c>
      <c r="K251" t="s">
        <v>77</v>
      </c>
    </row>
    <row r="252" spans="1:11" x14ac:dyDescent="0.25">
      <c r="A252" t="str">
        <f>_xlfn.CONCAT(VLOOKUP(B252,Indicateurs!$A:$B,2,0),"-",VLOOKUP(C252,Zones!$A:$B,2,0),"-",_xlfn.CONCAT(IF(K252&lt;&gt;"",VLOOKUP(K252,Desagregations!$A:$B,2,0),""),IF(L252&lt;&gt;"","_",""),IF(L252&lt;&gt;"",VLOOKUP(L252,Desagregations!$A:$B,2,0),""),IF(M252&lt;&gt;"","_",""),IF(M252&lt;&gt;"",VLOOKUP(M252,Desagregations!$A:$B,2,0),""),IF(N252&lt;&gt;"","_",""),IF(N252&lt;&gt;"",VLOOKUP(N252,Desagregations!$A:$B,2,0),""),IF(O252&lt;&gt;"","_",""),IF(O252&lt;&gt;"",VLOOKUP(O252,Desagregations!$A:$B,2,0),""),IF(P252&lt;&gt;"","_",""),IF(P252&lt;&gt;"",VLOOKUP(P252,Desagregations!$A:$B,2,0),"")),"-",VLOOKUP(D252,Unites!$A:$B,2,0),"-",VLOOKUP(E252,Sources!$A:$B,2,0),"-",VLOOKUP(F252,CommentaireValeurIndicateurs!$A:$B,2,0),"-",VLOOKUP(G252,NatureDonnees!$A:$B,2,0),"-",VLOOKUP(H252,Periodes!$A:$B,2,0))</f>
        <v>1283-1-6-4-26-3-1-29</v>
      </c>
      <c r="B252" s="2" t="s">
        <v>39</v>
      </c>
      <c r="C252" s="4" t="s">
        <v>136</v>
      </c>
      <c r="D252" t="s">
        <v>125</v>
      </c>
      <c r="E252" t="s">
        <v>100</v>
      </c>
      <c r="F252" s="4" t="s">
        <v>399</v>
      </c>
      <c r="G252" s="4" t="s">
        <v>400</v>
      </c>
      <c r="H252">
        <v>2028</v>
      </c>
      <c r="I252">
        <v>4.2</v>
      </c>
      <c r="K252" t="s">
        <v>77</v>
      </c>
    </row>
    <row r="253" spans="1:11" x14ac:dyDescent="0.25">
      <c r="A253" t="str">
        <f>_xlfn.CONCAT(VLOOKUP(B253,Indicateurs!$A:$B,2,0),"-",VLOOKUP(C253,Zones!$A:$B,2,0),"-",_xlfn.CONCAT(IF(K253&lt;&gt;"",VLOOKUP(K253,Desagregations!$A:$B,2,0),""),IF(L253&lt;&gt;"","_",""),IF(L253&lt;&gt;"",VLOOKUP(L253,Desagregations!$A:$B,2,0),""),IF(M253&lt;&gt;"","_",""),IF(M253&lt;&gt;"",VLOOKUP(M253,Desagregations!$A:$B,2,0),""),IF(N253&lt;&gt;"","_",""),IF(N253&lt;&gt;"",VLOOKUP(N253,Desagregations!$A:$B,2,0),""),IF(O253&lt;&gt;"","_",""),IF(O253&lt;&gt;"",VLOOKUP(O253,Desagregations!$A:$B,2,0),""),IF(P253&lt;&gt;"","_",""),IF(P253&lt;&gt;"",VLOOKUP(P253,Desagregations!$A:$B,2,0),"")),"-",VLOOKUP(D253,Unites!$A:$B,2,0),"-",VLOOKUP(E253,Sources!$A:$B,2,0),"-",VLOOKUP(F253,CommentaireValeurIndicateurs!$A:$B,2,0),"-",VLOOKUP(G253,NatureDonnees!$A:$B,2,0),"-",VLOOKUP(H253,Periodes!$A:$B,2,0))</f>
        <v>1284-1-6-4-26-3-1-29</v>
      </c>
      <c r="B253" s="2" t="s">
        <v>40</v>
      </c>
      <c r="C253" s="4" t="s">
        <v>136</v>
      </c>
      <c r="D253" t="s">
        <v>125</v>
      </c>
      <c r="E253" t="s">
        <v>100</v>
      </c>
      <c r="F253" s="4" t="s">
        <v>399</v>
      </c>
      <c r="G253" s="4" t="s">
        <v>400</v>
      </c>
      <c r="H253">
        <v>2028</v>
      </c>
      <c r="I253">
        <v>6.9</v>
      </c>
      <c r="K253" t="s">
        <v>77</v>
      </c>
    </row>
    <row r="254" spans="1:11" x14ac:dyDescent="0.25">
      <c r="A254" t="str">
        <f>_xlfn.CONCAT(VLOOKUP(B254,Indicateurs!$A:$B,2,0),"-",VLOOKUP(C254,Zones!$A:$B,2,0),"-",_xlfn.CONCAT(IF(K254&lt;&gt;"",VLOOKUP(K254,Desagregations!$A:$B,2,0),""),IF(L254&lt;&gt;"","_",""),IF(L254&lt;&gt;"",VLOOKUP(L254,Desagregations!$A:$B,2,0),""),IF(M254&lt;&gt;"","_",""),IF(M254&lt;&gt;"",VLOOKUP(M254,Desagregations!$A:$B,2,0),""),IF(N254&lt;&gt;"","_",""),IF(N254&lt;&gt;"",VLOOKUP(N254,Desagregations!$A:$B,2,0),""),IF(O254&lt;&gt;"","_",""),IF(O254&lt;&gt;"",VLOOKUP(O254,Desagregations!$A:$B,2,0),""),IF(P254&lt;&gt;"","_",""),IF(P254&lt;&gt;"",VLOOKUP(P254,Desagregations!$A:$B,2,0),"")),"-",VLOOKUP(D254,Unites!$A:$B,2,0),"-",VLOOKUP(E254,Sources!$A:$B,2,0),"-",VLOOKUP(F254,CommentaireValeurIndicateurs!$A:$B,2,0),"-",VLOOKUP(G254,NatureDonnees!$A:$B,2,0),"-",VLOOKUP(H254,Periodes!$A:$B,2,0))</f>
        <v>1285-1-6-4-27-3-1-29</v>
      </c>
      <c r="B254" s="2" t="s">
        <v>41</v>
      </c>
      <c r="C254" s="4" t="s">
        <v>136</v>
      </c>
      <c r="D254" t="s">
        <v>125</v>
      </c>
      <c r="E254" t="s">
        <v>101</v>
      </c>
      <c r="F254" s="4" t="s">
        <v>399</v>
      </c>
      <c r="G254" s="4" t="s">
        <v>400</v>
      </c>
      <c r="H254">
        <v>2028</v>
      </c>
      <c r="I254">
        <v>48.28</v>
      </c>
      <c r="K254" t="s">
        <v>77</v>
      </c>
    </row>
    <row r="255" spans="1:11" x14ac:dyDescent="0.25">
      <c r="A255" t="str">
        <f>_xlfn.CONCAT(VLOOKUP(B255,Indicateurs!$A:$B,2,0),"-",VLOOKUP(C255,Zones!$A:$B,2,0),"-",_xlfn.CONCAT(IF(K255&lt;&gt;"",VLOOKUP(K255,Desagregations!$A:$B,2,0),""),IF(L255&lt;&gt;"","_",""),IF(L255&lt;&gt;"",VLOOKUP(L255,Desagregations!$A:$B,2,0),""),IF(M255&lt;&gt;"","_",""),IF(M255&lt;&gt;"",VLOOKUP(M255,Desagregations!$A:$B,2,0),""),IF(N255&lt;&gt;"","_",""),IF(N255&lt;&gt;"",VLOOKUP(N255,Desagregations!$A:$B,2,0),""),IF(O255&lt;&gt;"","_",""),IF(O255&lt;&gt;"",VLOOKUP(O255,Desagregations!$A:$B,2,0),""),IF(P255&lt;&gt;"","_",""),IF(P255&lt;&gt;"",VLOOKUP(P255,Desagregations!$A:$B,2,0),"")),"-",VLOOKUP(D255,Unites!$A:$B,2,0),"-",VLOOKUP(E255,Sources!$A:$B,2,0),"-",VLOOKUP(F255,CommentaireValeurIndicateurs!$A:$B,2,0),"-",VLOOKUP(G255,NatureDonnees!$A:$B,2,0),"-",VLOOKUP(H255,Periodes!$A:$B,2,0))</f>
        <v>1286-1-6-10-28-3-1-29</v>
      </c>
      <c r="B255" s="2" t="s">
        <v>42</v>
      </c>
      <c r="C255" s="4" t="s">
        <v>136</v>
      </c>
      <c r="D255" t="s">
        <v>131</v>
      </c>
      <c r="E255" t="s">
        <v>102</v>
      </c>
      <c r="F255" s="4" t="s">
        <v>399</v>
      </c>
      <c r="G255" s="4" t="s">
        <v>400</v>
      </c>
      <c r="H255">
        <v>2028</v>
      </c>
      <c r="I255">
        <v>13.26</v>
      </c>
      <c r="K255" t="s">
        <v>77</v>
      </c>
    </row>
    <row r="256" spans="1:11" x14ac:dyDescent="0.25">
      <c r="A256" t="str">
        <f>_xlfn.CONCAT(VLOOKUP(B256,Indicateurs!$A:$B,2,0),"-",VLOOKUP(C256,Zones!$A:$B,2,0),"-",_xlfn.CONCAT(IF(K256&lt;&gt;"",VLOOKUP(K256,Desagregations!$A:$B,2,0),""),IF(L256&lt;&gt;"","_",""),IF(L256&lt;&gt;"",VLOOKUP(L256,Desagregations!$A:$B,2,0),""),IF(M256&lt;&gt;"","_",""),IF(M256&lt;&gt;"",VLOOKUP(M256,Desagregations!$A:$B,2,0),""),IF(N256&lt;&gt;"","_",""),IF(N256&lt;&gt;"",VLOOKUP(N256,Desagregations!$A:$B,2,0),""),IF(O256&lt;&gt;"","_",""),IF(O256&lt;&gt;"",VLOOKUP(O256,Desagregations!$A:$B,2,0),""),IF(P256&lt;&gt;"","_",""),IF(P256&lt;&gt;"",VLOOKUP(P256,Desagregations!$A:$B,2,0),"")),"-",VLOOKUP(D256,Unites!$A:$B,2,0),"-",VLOOKUP(E256,Sources!$A:$B,2,0),"-",VLOOKUP(F256,CommentaireValeurIndicateurs!$A:$B,2,0),"-",VLOOKUP(G256,NatureDonnees!$A:$B,2,0),"-",VLOOKUP(H256,Periodes!$A:$B,2,0))</f>
        <v>1287-1-6-6-29-3-1-29</v>
      </c>
      <c r="B256" s="2" t="s">
        <v>43</v>
      </c>
      <c r="C256" s="4" t="s">
        <v>136</v>
      </c>
      <c r="D256" t="s">
        <v>127</v>
      </c>
      <c r="E256" t="s">
        <v>103</v>
      </c>
      <c r="F256" s="4" t="s">
        <v>399</v>
      </c>
      <c r="G256" s="4" t="s">
        <v>400</v>
      </c>
      <c r="H256">
        <v>2028</v>
      </c>
      <c r="I256">
        <v>22</v>
      </c>
      <c r="K256" t="s">
        <v>77</v>
      </c>
    </row>
    <row r="257" spans="1:11" x14ac:dyDescent="0.25">
      <c r="A257" t="str">
        <f>_xlfn.CONCAT(VLOOKUP(B257,Indicateurs!$A:$B,2,0),"-",VLOOKUP(C257,Zones!$A:$B,2,0),"-",_xlfn.CONCAT(IF(K257&lt;&gt;"",VLOOKUP(K257,Desagregations!$A:$B,2,0),""),IF(L257&lt;&gt;"","_",""),IF(L257&lt;&gt;"",VLOOKUP(L257,Desagregations!$A:$B,2,0),""),IF(M257&lt;&gt;"","_",""),IF(M257&lt;&gt;"",VLOOKUP(M257,Desagregations!$A:$B,2,0),""),IF(N257&lt;&gt;"","_",""),IF(N257&lt;&gt;"",VLOOKUP(N257,Desagregations!$A:$B,2,0),""),IF(O257&lt;&gt;"","_",""),IF(O257&lt;&gt;"",VLOOKUP(O257,Desagregations!$A:$B,2,0),""),IF(P257&lt;&gt;"","_",""),IF(P257&lt;&gt;"",VLOOKUP(P257,Desagregations!$A:$B,2,0),"")),"-",VLOOKUP(D257,Unites!$A:$B,2,0),"-",VLOOKUP(E257,Sources!$A:$B,2,0),"-",VLOOKUP(F257,CommentaireValeurIndicateurs!$A:$B,2,0),"-",VLOOKUP(G257,NatureDonnees!$A:$B,2,0),"-",VLOOKUP(H257,Periodes!$A:$B,2,0))</f>
        <v>1288-1-6-4-30-3-1-29</v>
      </c>
      <c r="B257" s="2" t="s">
        <v>44</v>
      </c>
      <c r="C257" s="4" t="s">
        <v>136</v>
      </c>
      <c r="D257" t="s">
        <v>125</v>
      </c>
      <c r="E257" s="4" t="s">
        <v>104</v>
      </c>
      <c r="F257" s="4" t="s">
        <v>399</v>
      </c>
      <c r="G257" s="4" t="s">
        <v>400</v>
      </c>
      <c r="H257">
        <v>2028</v>
      </c>
      <c r="I257">
        <v>100</v>
      </c>
      <c r="K257" t="s">
        <v>77</v>
      </c>
    </row>
    <row r="258" spans="1:11" x14ac:dyDescent="0.25">
      <c r="A258" t="str">
        <f>_xlfn.CONCAT(VLOOKUP(B258,Indicateurs!$A:$B,2,0),"-",VLOOKUP(C258,Zones!$A:$B,2,0),"-",_xlfn.CONCAT(IF(K258&lt;&gt;"",VLOOKUP(K258,Desagregations!$A:$B,2,0),""),IF(L258&lt;&gt;"","_",""),IF(L258&lt;&gt;"",VLOOKUP(L258,Desagregations!$A:$B,2,0),""),IF(M258&lt;&gt;"","_",""),IF(M258&lt;&gt;"",VLOOKUP(M258,Desagregations!$A:$B,2,0),""),IF(N258&lt;&gt;"","_",""),IF(N258&lt;&gt;"",VLOOKUP(N258,Desagregations!$A:$B,2,0),""),IF(O258&lt;&gt;"","_",""),IF(O258&lt;&gt;"",VLOOKUP(O258,Desagregations!$A:$B,2,0),""),IF(P258&lt;&gt;"","_",""),IF(P258&lt;&gt;"",VLOOKUP(P258,Desagregations!$A:$B,2,0),"")),"-",VLOOKUP(D258,Unites!$A:$B,2,0),"-",VLOOKUP(E258,Sources!$A:$B,2,0),"-",VLOOKUP(F258,CommentaireValeurIndicateurs!$A:$B,2,0),"-",VLOOKUP(G258,NatureDonnees!$A:$B,2,0),"-",VLOOKUP(H258,Periodes!$A:$B,2,0))</f>
        <v>1289-1-6-4-30-3-1-29</v>
      </c>
      <c r="B258" s="2" t="s">
        <v>45</v>
      </c>
      <c r="C258" s="4" t="s">
        <v>136</v>
      </c>
      <c r="D258" t="s">
        <v>125</v>
      </c>
      <c r="E258" s="4" t="s">
        <v>104</v>
      </c>
      <c r="F258" s="4" t="s">
        <v>399</v>
      </c>
      <c r="G258" s="4" t="s">
        <v>400</v>
      </c>
      <c r="H258">
        <v>2028</v>
      </c>
      <c r="I258">
        <v>75</v>
      </c>
      <c r="K258" t="s">
        <v>77</v>
      </c>
    </row>
    <row r="259" spans="1:11" x14ac:dyDescent="0.25">
      <c r="A259" t="str">
        <f>_xlfn.CONCAT(VLOOKUP(B259,Indicateurs!$A:$B,2,0),"-",VLOOKUP(C259,Zones!$A:$B,2,0),"-",_xlfn.CONCAT(IF(K259&lt;&gt;"",VLOOKUP(K259,Desagregations!$A:$B,2,0),""),IF(L259&lt;&gt;"","_",""),IF(L259&lt;&gt;"",VLOOKUP(L259,Desagregations!$A:$B,2,0),""),IF(M259&lt;&gt;"","_",""),IF(M259&lt;&gt;"",VLOOKUP(M259,Desagregations!$A:$B,2,0),""),IF(N259&lt;&gt;"","_",""),IF(N259&lt;&gt;"",VLOOKUP(N259,Desagregations!$A:$B,2,0),""),IF(O259&lt;&gt;"","_",""),IF(O259&lt;&gt;"",VLOOKUP(O259,Desagregations!$A:$B,2,0),""),IF(P259&lt;&gt;"","_",""),IF(P259&lt;&gt;"",VLOOKUP(P259,Desagregations!$A:$B,2,0),"")),"-",VLOOKUP(D259,Unites!$A:$B,2,0),"-",VLOOKUP(E259,Sources!$A:$B,2,0),"-",VLOOKUP(F259,CommentaireValeurIndicateurs!$A:$B,2,0),"-",VLOOKUP(G259,NatureDonnees!$A:$B,2,0),"-",VLOOKUP(H259,Periodes!$A:$B,2,0))</f>
        <v>1290-1-6-4-4-3-1-29</v>
      </c>
      <c r="B259" s="2" t="s">
        <v>46</v>
      </c>
      <c r="C259" s="4" t="s">
        <v>136</v>
      </c>
      <c r="D259" t="s">
        <v>125</v>
      </c>
      <c r="E259" t="s">
        <v>78</v>
      </c>
      <c r="F259" s="4" t="s">
        <v>399</v>
      </c>
      <c r="G259" s="4" t="s">
        <v>400</v>
      </c>
      <c r="H259">
        <v>2028</v>
      </c>
      <c r="I259">
        <v>41.39</v>
      </c>
      <c r="K259" t="s">
        <v>77</v>
      </c>
    </row>
    <row r="260" spans="1:11" x14ac:dyDescent="0.25">
      <c r="A260" t="str">
        <f>_xlfn.CONCAT(VLOOKUP(B260,Indicateurs!$A:$B,2,0),"-",VLOOKUP(C260,Zones!$A:$B,2,0),"-",_xlfn.CONCAT(IF(K260&lt;&gt;"",VLOOKUP(K260,Desagregations!$A:$B,2,0),""),IF(L260&lt;&gt;"","_",""),IF(L260&lt;&gt;"",VLOOKUP(L260,Desagregations!$A:$B,2,0),""),IF(M260&lt;&gt;"","_",""),IF(M260&lt;&gt;"",VLOOKUP(M260,Desagregations!$A:$B,2,0),""),IF(N260&lt;&gt;"","_",""),IF(N260&lt;&gt;"",VLOOKUP(N260,Desagregations!$A:$B,2,0),""),IF(O260&lt;&gt;"","_",""),IF(O260&lt;&gt;"",VLOOKUP(O260,Desagregations!$A:$B,2,0),""),IF(P260&lt;&gt;"","_",""),IF(P260&lt;&gt;"",VLOOKUP(P260,Desagregations!$A:$B,2,0),"")),"-",VLOOKUP(D260,Unites!$A:$B,2,0),"-",VLOOKUP(E260,Sources!$A:$B,2,0),"-",VLOOKUP(F260,CommentaireValeurIndicateurs!$A:$B,2,0),"-",VLOOKUP(G260,NatureDonnees!$A:$B,2,0),"-",VLOOKUP(H260,Periodes!$A:$B,2,0))</f>
        <v>1291-1-6-11-31-3-1-29</v>
      </c>
      <c r="B260" s="2" t="s">
        <v>47</v>
      </c>
      <c r="C260" s="4" t="s">
        <v>136</v>
      </c>
      <c r="D260" t="s">
        <v>132</v>
      </c>
      <c r="E260" t="s">
        <v>105</v>
      </c>
      <c r="F260" s="4" t="s">
        <v>399</v>
      </c>
      <c r="G260" s="4" t="s">
        <v>400</v>
      </c>
      <c r="H260">
        <v>2028</v>
      </c>
      <c r="I260">
        <v>56</v>
      </c>
      <c r="K260" t="s">
        <v>77</v>
      </c>
    </row>
    <row r="261" spans="1:11" x14ac:dyDescent="0.25">
      <c r="A261" t="str">
        <f>_xlfn.CONCAT(VLOOKUP(B261,Indicateurs!$A:$B,2,0),"-",VLOOKUP(C261,Zones!$A:$B,2,0),"-",_xlfn.CONCAT(IF(K261&lt;&gt;"",VLOOKUP(K261,Desagregations!$A:$B,2,0),""),IF(L261&lt;&gt;"","_",""),IF(L261&lt;&gt;"",VLOOKUP(L261,Desagregations!$A:$B,2,0),""),IF(M261&lt;&gt;"","_",""),IF(M261&lt;&gt;"",VLOOKUP(M261,Desagregations!$A:$B,2,0),""),IF(N261&lt;&gt;"","_",""),IF(N261&lt;&gt;"",VLOOKUP(N261,Desagregations!$A:$B,2,0),""),IF(O261&lt;&gt;"","_",""),IF(O261&lt;&gt;"",VLOOKUP(O261,Desagregations!$A:$B,2,0),""),IF(P261&lt;&gt;"","_",""),IF(P261&lt;&gt;"",VLOOKUP(P261,Desagregations!$A:$B,2,0),"")),"-",VLOOKUP(D261,Unites!$A:$B,2,0),"-",VLOOKUP(E261,Sources!$A:$B,2,0),"-",VLOOKUP(F261,CommentaireValeurIndicateurs!$A:$B,2,0),"-",VLOOKUP(G261,NatureDonnees!$A:$B,2,0),"-",VLOOKUP(H261,Periodes!$A:$B,2,0))</f>
        <v>1292-1-6-12-32-3-1-29</v>
      </c>
      <c r="B261" s="2" t="s">
        <v>48</v>
      </c>
      <c r="C261" s="4" t="s">
        <v>136</v>
      </c>
      <c r="D261" t="s">
        <v>133</v>
      </c>
      <c r="E261" t="s">
        <v>106</v>
      </c>
      <c r="F261" s="4" t="s">
        <v>399</v>
      </c>
      <c r="G261" s="4" t="s">
        <v>400</v>
      </c>
      <c r="H261">
        <v>2028</v>
      </c>
      <c r="I261">
        <v>240.8</v>
      </c>
      <c r="K261" t="s">
        <v>77</v>
      </c>
    </row>
    <row r="262" spans="1:11" x14ac:dyDescent="0.25">
      <c r="A262" t="str">
        <f>_xlfn.CONCAT(VLOOKUP(B262,Indicateurs!$A:$B,2,0),"-",VLOOKUP(C262,Zones!$A:$B,2,0),"-",_xlfn.CONCAT(IF(K262&lt;&gt;"",VLOOKUP(K262,Desagregations!$A:$B,2,0),""),IF(L262&lt;&gt;"","_",""),IF(L262&lt;&gt;"",VLOOKUP(L262,Desagregations!$A:$B,2,0),""),IF(M262&lt;&gt;"","_",""),IF(M262&lt;&gt;"",VLOOKUP(M262,Desagregations!$A:$B,2,0),""),IF(N262&lt;&gt;"","_",""),IF(N262&lt;&gt;"",VLOOKUP(N262,Desagregations!$A:$B,2,0),""),IF(O262&lt;&gt;"","_",""),IF(O262&lt;&gt;"",VLOOKUP(O262,Desagregations!$A:$B,2,0),""),IF(P262&lt;&gt;"","_",""),IF(P262&lt;&gt;"",VLOOKUP(P262,Desagregations!$A:$B,2,0),"")),"-",VLOOKUP(D262,Unites!$A:$B,2,0),"-",VLOOKUP(E262,Sources!$A:$B,2,0),"-",VLOOKUP(F262,CommentaireValeurIndicateurs!$A:$B,2,0),"-",VLOOKUP(G262,NatureDonnees!$A:$B,2,0),"-",VLOOKUP(H262,Periodes!$A:$B,2,0))</f>
        <v>1293-1-6-4-33-3-1-29</v>
      </c>
      <c r="B262" s="2" t="s">
        <v>49</v>
      </c>
      <c r="C262" s="4" t="s">
        <v>136</v>
      </c>
      <c r="D262" t="s">
        <v>125</v>
      </c>
      <c r="E262" t="s">
        <v>107</v>
      </c>
      <c r="F262" s="4" t="s">
        <v>399</v>
      </c>
      <c r="G262" s="4" t="s">
        <v>400</v>
      </c>
      <c r="H262">
        <v>2028</v>
      </c>
      <c r="I262">
        <v>50.3</v>
      </c>
      <c r="K262" t="s">
        <v>77</v>
      </c>
    </row>
    <row r="263" spans="1:11" x14ac:dyDescent="0.25">
      <c r="A263" t="str">
        <f>_xlfn.CONCAT(VLOOKUP(B263,Indicateurs!$A:$B,2,0),"-",VLOOKUP(C263,Zones!$A:$B,2,0),"-",_xlfn.CONCAT(IF(K263&lt;&gt;"",VLOOKUP(K263,Desagregations!$A:$B,2,0),""),IF(L263&lt;&gt;"","_",""),IF(L263&lt;&gt;"",VLOOKUP(L263,Desagregations!$A:$B,2,0),""),IF(M263&lt;&gt;"","_",""),IF(M263&lt;&gt;"",VLOOKUP(M263,Desagregations!$A:$B,2,0),""),IF(N263&lt;&gt;"","_",""),IF(N263&lt;&gt;"",VLOOKUP(N263,Desagregations!$A:$B,2,0),""),IF(O263&lt;&gt;"","_",""),IF(O263&lt;&gt;"",VLOOKUP(O263,Desagregations!$A:$B,2,0),""),IF(P263&lt;&gt;"","_",""),IF(P263&lt;&gt;"",VLOOKUP(P263,Desagregations!$A:$B,2,0),"")),"-",VLOOKUP(D263,Unites!$A:$B,2,0),"-",VLOOKUP(E263,Sources!$A:$B,2,0),"-",VLOOKUP(F263,CommentaireValeurIndicateurs!$A:$B,2,0),"-",VLOOKUP(G263,NatureDonnees!$A:$B,2,0),"-",VLOOKUP(H263,Periodes!$A:$B,2,0))</f>
        <v>1294-1-6-4-33-3-1-29</v>
      </c>
      <c r="B263" s="2" t="s">
        <v>50</v>
      </c>
      <c r="C263" s="4" t="s">
        <v>136</v>
      </c>
      <c r="D263" t="s">
        <v>125</v>
      </c>
      <c r="E263" t="s">
        <v>107</v>
      </c>
      <c r="F263" s="4" t="s">
        <v>399</v>
      </c>
      <c r="G263" s="4" t="s">
        <v>400</v>
      </c>
      <c r="H263">
        <v>2028</v>
      </c>
      <c r="I263">
        <v>16.600000000000001</v>
      </c>
      <c r="K263" t="s">
        <v>77</v>
      </c>
    </row>
    <row r="264" spans="1:11" x14ac:dyDescent="0.25">
      <c r="A264" t="str">
        <f>_xlfn.CONCAT(VLOOKUP(B264,Indicateurs!$A:$B,2,0),"-",VLOOKUP(C264,Zones!$A:$B,2,0),"-",_xlfn.CONCAT(IF(K264&lt;&gt;"",VLOOKUP(K264,Desagregations!$A:$B,2,0),""),IF(L264&lt;&gt;"","_",""),IF(L264&lt;&gt;"",VLOOKUP(L264,Desagregations!$A:$B,2,0),""),IF(M264&lt;&gt;"","_",""),IF(M264&lt;&gt;"",VLOOKUP(M264,Desagregations!$A:$B,2,0),""),IF(N264&lt;&gt;"","_",""),IF(N264&lt;&gt;"",VLOOKUP(N264,Desagregations!$A:$B,2,0),""),IF(O264&lt;&gt;"","_",""),IF(O264&lt;&gt;"",VLOOKUP(O264,Desagregations!$A:$B,2,0),""),IF(P264&lt;&gt;"","_",""),IF(P264&lt;&gt;"",VLOOKUP(P264,Desagregations!$A:$B,2,0),"")),"-",VLOOKUP(D264,Unites!$A:$B,2,0),"-",VLOOKUP(E264,Sources!$A:$B,2,0),"-",VLOOKUP(F264,CommentaireValeurIndicateurs!$A:$B,2,0),"-",VLOOKUP(G264,NatureDonnees!$A:$B,2,0),"-",VLOOKUP(H264,Periodes!$A:$B,2,0))</f>
        <v>1295-1-6-4-33-3-1-29</v>
      </c>
      <c r="B264" s="2" t="s">
        <v>51</v>
      </c>
      <c r="C264" s="4" t="s">
        <v>136</v>
      </c>
      <c r="D264" t="s">
        <v>125</v>
      </c>
      <c r="E264" t="s">
        <v>107</v>
      </c>
      <c r="F264" s="4" t="s">
        <v>399</v>
      </c>
      <c r="G264" s="4" t="s">
        <v>400</v>
      </c>
      <c r="H264">
        <v>2028</v>
      </c>
      <c r="I264">
        <v>10.3</v>
      </c>
      <c r="K264" t="s">
        <v>77</v>
      </c>
    </row>
    <row r="265" spans="1:11" x14ac:dyDescent="0.25">
      <c r="A265" t="str">
        <f>_xlfn.CONCAT(VLOOKUP(B265,Indicateurs!$A:$B,2,0),"-",VLOOKUP(C265,Zones!$A:$B,2,0),"-",_xlfn.CONCAT(IF(K265&lt;&gt;"",VLOOKUP(K265,Desagregations!$A:$B,2,0),""),IF(L265&lt;&gt;"","_",""),IF(L265&lt;&gt;"",VLOOKUP(L265,Desagregations!$A:$B,2,0),""),IF(M265&lt;&gt;"","_",""),IF(M265&lt;&gt;"",VLOOKUP(M265,Desagregations!$A:$B,2,0),""),IF(N265&lt;&gt;"","_",""),IF(N265&lt;&gt;"",VLOOKUP(N265,Desagregations!$A:$B,2,0),""),IF(O265&lt;&gt;"","_",""),IF(O265&lt;&gt;"",VLOOKUP(O265,Desagregations!$A:$B,2,0),""),IF(P265&lt;&gt;"","_",""),IF(P265&lt;&gt;"",VLOOKUP(P265,Desagregations!$A:$B,2,0),"")),"-",VLOOKUP(D265,Unites!$A:$B,2,0),"-",VLOOKUP(E265,Sources!$A:$B,2,0),"-",VLOOKUP(F265,CommentaireValeurIndicateurs!$A:$B,2,0),"-",VLOOKUP(G265,NatureDonnees!$A:$B,2,0),"-",VLOOKUP(H265,Periodes!$A:$B,2,0))</f>
        <v>1296-1-6-4-33-3-1-29</v>
      </c>
      <c r="B265" s="2" t="s">
        <v>52</v>
      </c>
      <c r="C265" s="4" t="s">
        <v>136</v>
      </c>
      <c r="D265" t="s">
        <v>125</v>
      </c>
      <c r="E265" t="s">
        <v>107</v>
      </c>
      <c r="F265" s="4" t="s">
        <v>399</v>
      </c>
      <c r="G265" s="4" t="s">
        <v>400</v>
      </c>
      <c r="H265">
        <v>2028</v>
      </c>
      <c r="I265">
        <v>17.62</v>
      </c>
      <c r="K265" t="s">
        <v>77</v>
      </c>
    </row>
    <row r="266" spans="1:11" x14ac:dyDescent="0.25">
      <c r="A266" t="str">
        <f>_xlfn.CONCAT(VLOOKUP(B266,Indicateurs!$A:$B,2,0),"-",VLOOKUP(C266,Zones!$A:$B,2,0),"-",_xlfn.CONCAT(IF(K266&lt;&gt;"",VLOOKUP(K266,Desagregations!$A:$B,2,0),""),IF(L266&lt;&gt;"","_",""),IF(L266&lt;&gt;"",VLOOKUP(L266,Desagregations!$A:$B,2,0),""),IF(M266&lt;&gt;"","_",""),IF(M266&lt;&gt;"",VLOOKUP(M266,Desagregations!$A:$B,2,0),""),IF(N266&lt;&gt;"","_",""),IF(N266&lt;&gt;"",VLOOKUP(N266,Desagregations!$A:$B,2,0),""),IF(O266&lt;&gt;"","_",""),IF(O266&lt;&gt;"",VLOOKUP(O266,Desagregations!$A:$B,2,0),""),IF(P266&lt;&gt;"","_",""),IF(P266&lt;&gt;"",VLOOKUP(P266,Desagregations!$A:$B,2,0),"")),"-",VLOOKUP(D266,Unites!$A:$B,2,0),"-",VLOOKUP(E266,Sources!$A:$B,2,0),"-",VLOOKUP(F266,CommentaireValeurIndicateurs!$A:$B,2,0),"-",VLOOKUP(G266,NatureDonnees!$A:$B,2,0),"-",VLOOKUP(H266,Periodes!$A:$B,2,0))</f>
        <v>1297-1-6-5-34-3-1-29</v>
      </c>
      <c r="B266" s="2" t="s">
        <v>53</v>
      </c>
      <c r="C266" s="4" t="s">
        <v>136</v>
      </c>
      <c r="D266" t="s">
        <v>126</v>
      </c>
      <c r="E266" t="s">
        <v>108</v>
      </c>
      <c r="F266" s="4" t="s">
        <v>399</v>
      </c>
      <c r="G266" s="4" t="s">
        <v>400</v>
      </c>
      <c r="H266">
        <v>2028</v>
      </c>
      <c r="I266">
        <v>3.34</v>
      </c>
      <c r="K266" t="s">
        <v>77</v>
      </c>
    </row>
    <row r="267" spans="1:11" x14ac:dyDescent="0.25">
      <c r="A267" t="str">
        <f>_xlfn.CONCAT(VLOOKUP(B267,Indicateurs!$A:$B,2,0),"-",VLOOKUP(C267,Zones!$A:$B,2,0),"-",_xlfn.CONCAT(IF(K267&lt;&gt;"",VLOOKUP(K267,Desagregations!$A:$B,2,0),""),IF(L267&lt;&gt;"","_",""),IF(L267&lt;&gt;"",VLOOKUP(L267,Desagregations!$A:$B,2,0),""),IF(M267&lt;&gt;"","_",""),IF(M267&lt;&gt;"",VLOOKUP(M267,Desagregations!$A:$B,2,0),""),IF(N267&lt;&gt;"","_",""),IF(N267&lt;&gt;"",VLOOKUP(N267,Desagregations!$A:$B,2,0),""),IF(O267&lt;&gt;"","_",""),IF(O267&lt;&gt;"",VLOOKUP(O267,Desagregations!$A:$B,2,0),""),IF(P267&lt;&gt;"","_",""),IF(P267&lt;&gt;"",VLOOKUP(P267,Desagregations!$A:$B,2,0),"")),"-",VLOOKUP(D267,Unites!$A:$B,2,0),"-",VLOOKUP(E267,Sources!$A:$B,2,0),"-",VLOOKUP(F267,CommentaireValeurIndicateurs!$A:$B,2,0),"-",VLOOKUP(G267,NatureDonnees!$A:$B,2,0),"-",VLOOKUP(H267,Periodes!$A:$B,2,0))</f>
        <v>1298-1-6-13-35-3-1-29</v>
      </c>
      <c r="B267" s="2" t="s">
        <v>54</v>
      </c>
      <c r="C267" s="4" t="s">
        <v>136</v>
      </c>
      <c r="D267" t="s">
        <v>134</v>
      </c>
      <c r="E267" t="s">
        <v>109</v>
      </c>
      <c r="F267" s="4" t="s">
        <v>399</v>
      </c>
      <c r="G267" s="4" t="s">
        <v>400</v>
      </c>
      <c r="H267">
        <v>2028</v>
      </c>
      <c r="I267">
        <v>56.61</v>
      </c>
      <c r="K267" t="s">
        <v>77</v>
      </c>
    </row>
    <row r="268" spans="1:11" x14ac:dyDescent="0.25">
      <c r="A268" t="str">
        <f>_xlfn.CONCAT(VLOOKUP(B268,Indicateurs!$A:$B,2,0),"-",VLOOKUP(C268,Zones!$A:$B,2,0),"-",_xlfn.CONCAT(IF(K268&lt;&gt;"",VLOOKUP(K268,Desagregations!$A:$B,2,0),""),IF(L268&lt;&gt;"","_",""),IF(L268&lt;&gt;"",VLOOKUP(L268,Desagregations!$A:$B,2,0),""),IF(M268&lt;&gt;"","_",""),IF(M268&lt;&gt;"",VLOOKUP(M268,Desagregations!$A:$B,2,0),""),IF(N268&lt;&gt;"","_",""),IF(N268&lt;&gt;"",VLOOKUP(N268,Desagregations!$A:$B,2,0),""),IF(O268&lt;&gt;"","_",""),IF(O268&lt;&gt;"",VLOOKUP(O268,Desagregations!$A:$B,2,0),""),IF(P268&lt;&gt;"","_",""),IF(P268&lt;&gt;"",VLOOKUP(P268,Desagregations!$A:$B,2,0),"")),"-",VLOOKUP(D268,Unites!$A:$B,2,0),"-",VLOOKUP(E268,Sources!$A:$B,2,0),"-",VLOOKUP(F268,CommentaireValeurIndicateurs!$A:$B,2,0),"-",VLOOKUP(G268,NatureDonnees!$A:$B,2,0),"-",VLOOKUP(H268,Periodes!$A:$B,2,0))</f>
        <v>1299-1-6-8-36-3-1-29</v>
      </c>
      <c r="B268" s="2" t="s">
        <v>55</v>
      </c>
      <c r="C268" s="4" t="s">
        <v>136</v>
      </c>
      <c r="D268" t="s">
        <v>129</v>
      </c>
      <c r="E268" t="s">
        <v>110</v>
      </c>
      <c r="F268" s="4" t="s">
        <v>399</v>
      </c>
      <c r="G268" s="4" t="s">
        <v>400</v>
      </c>
      <c r="H268">
        <v>2028</v>
      </c>
      <c r="I268">
        <v>1.96</v>
      </c>
      <c r="K268" t="s">
        <v>77</v>
      </c>
    </row>
    <row r="269" spans="1:11" x14ac:dyDescent="0.25">
      <c r="A269" t="str">
        <f>_xlfn.CONCAT(VLOOKUP(B269,Indicateurs!$A:$B,2,0),"-",VLOOKUP(C269,Zones!$A:$B,2,0),"-",_xlfn.CONCAT(IF(K269&lt;&gt;"",VLOOKUP(K269,Desagregations!$A:$B,2,0),""),IF(L269&lt;&gt;"","_",""),IF(L269&lt;&gt;"",VLOOKUP(L269,Desagregations!$A:$B,2,0),""),IF(M269&lt;&gt;"","_",""),IF(M269&lt;&gt;"",VLOOKUP(M269,Desagregations!$A:$B,2,0),""),IF(N269&lt;&gt;"","_",""),IF(N269&lt;&gt;"",VLOOKUP(N269,Desagregations!$A:$B,2,0),""),IF(O269&lt;&gt;"","_",""),IF(O269&lt;&gt;"",VLOOKUP(O269,Desagregations!$A:$B,2,0),""),IF(P269&lt;&gt;"","_",""),IF(P269&lt;&gt;"",VLOOKUP(P269,Desagregations!$A:$B,2,0),"")),"-",VLOOKUP(D269,Unites!$A:$B,2,0),"-",VLOOKUP(E269,Sources!$A:$B,2,0),"-",VLOOKUP(F269,CommentaireValeurIndicateurs!$A:$B,2,0),"-",VLOOKUP(G269,NatureDonnees!$A:$B,2,0),"-",VLOOKUP(H269,Periodes!$A:$B,2,0))</f>
        <v>1300-1-6-4-25-3-1-29</v>
      </c>
      <c r="B269" s="2" t="s">
        <v>56</v>
      </c>
      <c r="C269" s="4" t="s">
        <v>136</v>
      </c>
      <c r="D269" t="s">
        <v>125</v>
      </c>
      <c r="E269" t="s">
        <v>99</v>
      </c>
      <c r="F269" s="4" t="s">
        <v>399</v>
      </c>
      <c r="G269" s="4" t="s">
        <v>400</v>
      </c>
      <c r="H269">
        <v>2028</v>
      </c>
      <c r="I269">
        <v>28</v>
      </c>
      <c r="K269" t="s">
        <v>77</v>
      </c>
    </row>
    <row r="270" spans="1:11" x14ac:dyDescent="0.25">
      <c r="A270" t="e">
        <f>_xlfn.CONCAT(VLOOKUP(B270,Indicateurs!$A:$B,2,0),"-",VLOOKUP(C270,Zones!$A:$B,2,0),"-",_xlfn.CONCAT(IF(K270&lt;&gt;"",VLOOKUP(K270,Desagregations!$A:$B,2,0),""),IF(L270&lt;&gt;"","_",""),IF(L270&lt;&gt;"",VLOOKUP(L270,Desagregations!$A:$B,2,0),""),IF(M270&lt;&gt;"","_",""),IF(M270&lt;&gt;"",VLOOKUP(M270,Desagregations!$A:$B,2,0),""),IF(N270&lt;&gt;"","_",""),IF(N270&lt;&gt;"",VLOOKUP(N270,Desagregations!$A:$B,2,0),""),IF(O270&lt;&gt;"","_",""),IF(O270&lt;&gt;"",VLOOKUP(O270,Desagregations!$A:$B,2,0),""),IF(P270&lt;&gt;"","_",""),IF(P270&lt;&gt;"",VLOOKUP(P270,Desagregations!$A:$B,2,0),"")),"-",VLOOKUP(D270,Unites!$A:$B,2,0),"-",VLOOKUP(E270,Sources!$A:$B,2,0),"-",VLOOKUP(F270,CommentaireValeurIndicateurs!$A:$B,2,0),"-",VLOOKUP(G270,NatureDonnees!$A:$B,2,0),"-",VLOOKUP(H270,Periodes!$A:$B,2,0))</f>
        <v>#N/A</v>
      </c>
      <c r="B270" s="5" t="s">
        <v>57</v>
      </c>
      <c r="C270" s="4" t="s">
        <v>136</v>
      </c>
      <c r="D270" t="s">
        <v>125</v>
      </c>
      <c r="E270" t="s">
        <v>112</v>
      </c>
      <c r="F270" s="4" t="s">
        <v>399</v>
      </c>
      <c r="G270" s="4" t="s">
        <v>400</v>
      </c>
      <c r="K270" t="s">
        <v>77</v>
      </c>
    </row>
    <row r="271" spans="1:11" x14ac:dyDescent="0.25">
      <c r="A271" t="e">
        <f>_xlfn.CONCAT(VLOOKUP(B271,Indicateurs!$A:$B,2,0),"-",VLOOKUP(C271,Zones!$A:$B,2,0),"-",_xlfn.CONCAT(IF(K271&lt;&gt;"",VLOOKUP(K271,Desagregations!$A:$B,2,0),""),IF(L271&lt;&gt;"","_",""),IF(L271&lt;&gt;"",VLOOKUP(L271,Desagregations!$A:$B,2,0),""),IF(M271&lt;&gt;"","_",""),IF(M271&lt;&gt;"",VLOOKUP(M271,Desagregations!$A:$B,2,0),""),IF(N271&lt;&gt;"","_",""),IF(N271&lt;&gt;"",VLOOKUP(N271,Desagregations!$A:$B,2,0),""),IF(O271&lt;&gt;"","_",""),IF(O271&lt;&gt;"",VLOOKUP(O271,Desagregations!$A:$B,2,0),""),IF(P271&lt;&gt;"","_",""),IF(P271&lt;&gt;"",VLOOKUP(P271,Desagregations!$A:$B,2,0),"")),"-",VLOOKUP(D271,Unites!$A:$B,2,0),"-",VLOOKUP(E271,Sources!$A:$B,2,0),"-",VLOOKUP(F271,CommentaireValeurIndicateurs!$A:$B,2,0),"-",VLOOKUP(G271,NatureDonnees!$A:$B,2,0),"-",VLOOKUP(H271,Periodes!$A:$B,2,0))</f>
        <v>#N/A</v>
      </c>
      <c r="B271" s="5" t="s">
        <v>58</v>
      </c>
      <c r="C271" s="4" t="s">
        <v>136</v>
      </c>
      <c r="D271" t="s">
        <v>125</v>
      </c>
      <c r="E271" t="s">
        <v>113</v>
      </c>
      <c r="F271" s="4" t="s">
        <v>399</v>
      </c>
      <c r="G271" s="4" t="s">
        <v>400</v>
      </c>
      <c r="K271" t="s">
        <v>77</v>
      </c>
    </row>
    <row r="272" spans="1:11" x14ac:dyDescent="0.25">
      <c r="A272" t="str">
        <f>_xlfn.CONCAT(VLOOKUP(B272,Indicateurs!$A:$B,2,0),"-",VLOOKUP(C272,Zones!$A:$B,2,0),"-",_xlfn.CONCAT(IF(K272&lt;&gt;"",VLOOKUP(K272,Desagregations!$A:$B,2,0),""),IF(L272&lt;&gt;"","_",""),IF(L272&lt;&gt;"",VLOOKUP(L272,Desagregations!$A:$B,2,0),""),IF(M272&lt;&gt;"","_",""),IF(M272&lt;&gt;"",VLOOKUP(M272,Desagregations!$A:$B,2,0),""),IF(N272&lt;&gt;"","_",""),IF(N272&lt;&gt;"",VLOOKUP(N272,Desagregations!$A:$B,2,0),""),IF(O272&lt;&gt;"","_",""),IF(O272&lt;&gt;"",VLOOKUP(O272,Desagregations!$A:$B,2,0),""),IF(P272&lt;&gt;"","_",""),IF(P272&lt;&gt;"",VLOOKUP(P272,Desagregations!$A:$B,2,0),"")),"-",VLOOKUP(D272,Unites!$A:$B,2,0),"-",VLOOKUP(E272,Sources!$A:$B,2,0),"-",VLOOKUP(F272,CommentaireValeurIndicateurs!$A:$B,2,0),"-",VLOOKUP(G272,NatureDonnees!$A:$B,2,0),"-",VLOOKUP(H272,Periodes!$A:$B,2,0))</f>
        <v>1303-1-6-4-40-3-1-29</v>
      </c>
      <c r="B272" s="2" t="s">
        <v>59</v>
      </c>
      <c r="C272" s="4" t="s">
        <v>136</v>
      </c>
      <c r="D272" t="s">
        <v>125</v>
      </c>
      <c r="E272" t="s">
        <v>114</v>
      </c>
      <c r="F272" s="4" t="s">
        <v>399</v>
      </c>
      <c r="G272" s="4" t="s">
        <v>400</v>
      </c>
      <c r="H272">
        <v>2028</v>
      </c>
      <c r="I272">
        <v>67.91</v>
      </c>
      <c r="K272" t="s">
        <v>77</v>
      </c>
    </row>
    <row r="273" spans="1:11" x14ac:dyDescent="0.25">
      <c r="A273" t="str">
        <f>_xlfn.CONCAT(VLOOKUP(B273,Indicateurs!$A:$B,2,0),"-",VLOOKUP(C273,Zones!$A:$B,2,0),"-",_xlfn.CONCAT(IF(K273&lt;&gt;"",VLOOKUP(K273,Desagregations!$A:$B,2,0),""),IF(L273&lt;&gt;"","_",""),IF(L273&lt;&gt;"",VLOOKUP(L273,Desagregations!$A:$B,2,0),""),IF(M273&lt;&gt;"","_",""),IF(M273&lt;&gt;"",VLOOKUP(M273,Desagregations!$A:$B,2,0),""),IF(N273&lt;&gt;"","_",""),IF(N273&lt;&gt;"",VLOOKUP(N273,Desagregations!$A:$B,2,0),""),IF(O273&lt;&gt;"","_",""),IF(O273&lt;&gt;"",VLOOKUP(O273,Desagregations!$A:$B,2,0),""),IF(P273&lt;&gt;"","_",""),IF(P273&lt;&gt;"",VLOOKUP(P273,Desagregations!$A:$B,2,0),"")),"-",VLOOKUP(D273,Unites!$A:$B,2,0),"-",VLOOKUP(E273,Sources!$A:$B,2,0),"-",VLOOKUP(F273,CommentaireValeurIndicateurs!$A:$B,2,0),"-",VLOOKUP(G273,NatureDonnees!$A:$B,2,0),"-",VLOOKUP(H273,Periodes!$A:$B,2,0))</f>
        <v>1304-1-6-4-41-3-1-29</v>
      </c>
      <c r="B273" s="2" t="s">
        <v>60</v>
      </c>
      <c r="C273" s="4" t="s">
        <v>136</v>
      </c>
      <c r="D273" t="s">
        <v>125</v>
      </c>
      <c r="E273" t="s">
        <v>115</v>
      </c>
      <c r="F273" s="4" t="s">
        <v>399</v>
      </c>
      <c r="G273" s="4" t="s">
        <v>400</v>
      </c>
      <c r="H273">
        <v>2028</v>
      </c>
      <c r="I273">
        <v>67.77</v>
      </c>
      <c r="K273" t="s">
        <v>77</v>
      </c>
    </row>
    <row r="274" spans="1:11" x14ac:dyDescent="0.25">
      <c r="A274" t="str">
        <f>_xlfn.CONCAT(VLOOKUP(B274,Indicateurs!$A:$B,2,0),"-",VLOOKUP(C274,Zones!$A:$B,2,0),"-",_xlfn.CONCAT(IF(K274&lt;&gt;"",VLOOKUP(K274,Desagregations!$A:$B,2,0),""),IF(L274&lt;&gt;"","_",""),IF(L274&lt;&gt;"",VLOOKUP(L274,Desagregations!$A:$B,2,0),""),IF(M274&lt;&gt;"","_",""),IF(M274&lt;&gt;"",VLOOKUP(M274,Desagregations!$A:$B,2,0),""),IF(N274&lt;&gt;"","_",""),IF(N274&lt;&gt;"",VLOOKUP(N274,Desagregations!$A:$B,2,0),""),IF(O274&lt;&gt;"","_",""),IF(O274&lt;&gt;"",VLOOKUP(O274,Desagregations!$A:$B,2,0),""),IF(P274&lt;&gt;"","_",""),IF(P274&lt;&gt;"",VLOOKUP(P274,Desagregations!$A:$B,2,0),"")),"-",VLOOKUP(D274,Unites!$A:$B,2,0),"-",VLOOKUP(E274,Sources!$A:$B,2,0),"-",VLOOKUP(F274,CommentaireValeurIndicateurs!$A:$B,2,0),"-",VLOOKUP(G274,NatureDonnees!$A:$B,2,0),"-",VLOOKUP(H274,Periodes!$A:$B,2,0))</f>
        <v>1305-1-6-4-42-3-1-29</v>
      </c>
      <c r="B274" s="2" t="s">
        <v>61</v>
      </c>
      <c r="C274" s="4" t="s">
        <v>136</v>
      </c>
      <c r="D274" t="s">
        <v>125</v>
      </c>
      <c r="E274" t="s">
        <v>116</v>
      </c>
      <c r="F274" s="4" t="s">
        <v>399</v>
      </c>
      <c r="G274" s="4" t="s">
        <v>400</v>
      </c>
      <c r="H274">
        <v>2028</v>
      </c>
      <c r="I274">
        <v>65</v>
      </c>
      <c r="K274" t="s">
        <v>77</v>
      </c>
    </row>
    <row r="275" spans="1:11" x14ac:dyDescent="0.25">
      <c r="A275" t="str">
        <f>_xlfn.CONCAT(VLOOKUP(B275,Indicateurs!$A:$B,2,0),"-",VLOOKUP(C275,Zones!$A:$B,2,0),"-",_xlfn.CONCAT(IF(K275&lt;&gt;"",VLOOKUP(K275,Desagregations!$A:$B,2,0),""),IF(L275&lt;&gt;"","_",""),IF(L275&lt;&gt;"",VLOOKUP(L275,Desagregations!$A:$B,2,0),""),IF(M275&lt;&gt;"","_",""),IF(M275&lt;&gt;"",VLOOKUP(M275,Desagregations!$A:$B,2,0),""),IF(N275&lt;&gt;"","_",""),IF(N275&lt;&gt;"",VLOOKUP(N275,Desagregations!$A:$B,2,0),""),IF(O275&lt;&gt;"","_",""),IF(O275&lt;&gt;"",VLOOKUP(O275,Desagregations!$A:$B,2,0),""),IF(P275&lt;&gt;"","_",""),IF(P275&lt;&gt;"",VLOOKUP(P275,Desagregations!$A:$B,2,0),"")),"-",VLOOKUP(D275,Unites!$A:$B,2,0),"-",VLOOKUP(E275,Sources!$A:$B,2,0),"-",VLOOKUP(F275,CommentaireValeurIndicateurs!$A:$B,2,0),"-",VLOOKUP(G275,NatureDonnees!$A:$B,2,0),"-",VLOOKUP(H275,Periodes!$A:$B,2,0))</f>
        <v>1306-1-6-4-43-3-1-29</v>
      </c>
      <c r="B275" s="2" t="s">
        <v>62</v>
      </c>
      <c r="C275" s="4" t="s">
        <v>136</v>
      </c>
      <c r="D275" t="s">
        <v>125</v>
      </c>
      <c r="E275" t="s">
        <v>117</v>
      </c>
      <c r="F275" s="4" t="s">
        <v>399</v>
      </c>
      <c r="G275" s="4" t="s">
        <v>400</v>
      </c>
      <c r="H275">
        <v>2028</v>
      </c>
      <c r="I275">
        <v>6</v>
      </c>
      <c r="K275" t="s">
        <v>77</v>
      </c>
    </row>
    <row r="276" spans="1:11" x14ac:dyDescent="0.25">
      <c r="A276" t="str">
        <f>_xlfn.CONCAT(VLOOKUP(B276,Indicateurs!$A:$B,2,0),"-",VLOOKUP(C276,Zones!$A:$B,2,0),"-",_xlfn.CONCAT(IF(K276&lt;&gt;"",VLOOKUP(K276,Desagregations!$A:$B,2,0),""),IF(L276&lt;&gt;"","_",""),IF(L276&lt;&gt;"",VLOOKUP(L276,Desagregations!$A:$B,2,0),""),IF(M276&lt;&gt;"","_",""),IF(M276&lt;&gt;"",VLOOKUP(M276,Desagregations!$A:$B,2,0),""),IF(N276&lt;&gt;"","_",""),IF(N276&lt;&gt;"",VLOOKUP(N276,Desagregations!$A:$B,2,0),""),IF(O276&lt;&gt;"","_",""),IF(O276&lt;&gt;"",VLOOKUP(O276,Desagregations!$A:$B,2,0),""),IF(P276&lt;&gt;"","_",""),IF(P276&lt;&gt;"",VLOOKUP(P276,Desagregations!$A:$B,2,0),"")),"-",VLOOKUP(D276,Unites!$A:$B,2,0),"-",VLOOKUP(E276,Sources!$A:$B,2,0),"-",VLOOKUP(F276,CommentaireValeurIndicateurs!$A:$B,2,0),"-",VLOOKUP(G276,NatureDonnees!$A:$B,2,0),"-",VLOOKUP(H276,Periodes!$A:$B,2,0))</f>
        <v>1307-1-6-4-44-3-1-29</v>
      </c>
      <c r="B276" s="2" t="s">
        <v>63</v>
      </c>
      <c r="C276" s="4" t="s">
        <v>136</v>
      </c>
      <c r="D276" t="s">
        <v>125</v>
      </c>
      <c r="E276" t="s">
        <v>118</v>
      </c>
      <c r="F276" s="4" t="s">
        <v>399</v>
      </c>
      <c r="G276" s="4" t="s">
        <v>400</v>
      </c>
      <c r="H276">
        <v>2028</v>
      </c>
      <c r="I276">
        <v>82</v>
      </c>
      <c r="K276" t="s">
        <v>77</v>
      </c>
    </row>
    <row r="277" spans="1:11" x14ac:dyDescent="0.25">
      <c r="A277" t="str">
        <f>_xlfn.CONCAT(VLOOKUP(B277,Indicateurs!$A:$B,2,0),"-",VLOOKUP(C277,Zones!$A:$B,2,0),"-",_xlfn.CONCAT(IF(K277&lt;&gt;"",VLOOKUP(K277,Desagregations!$A:$B,2,0),""),IF(L277&lt;&gt;"","_",""),IF(L277&lt;&gt;"",VLOOKUP(L277,Desagregations!$A:$B,2,0),""),IF(M277&lt;&gt;"","_",""),IF(M277&lt;&gt;"",VLOOKUP(M277,Desagregations!$A:$B,2,0),""),IF(N277&lt;&gt;"","_",""),IF(N277&lt;&gt;"",VLOOKUP(N277,Desagregations!$A:$B,2,0),""),IF(O277&lt;&gt;"","_",""),IF(O277&lt;&gt;"",VLOOKUP(O277,Desagregations!$A:$B,2,0),""),IF(P277&lt;&gt;"","_",""),IF(P277&lt;&gt;"",VLOOKUP(P277,Desagregations!$A:$B,2,0),"")),"-",VLOOKUP(D277,Unites!$A:$B,2,0),"-",VLOOKUP(E277,Sources!$A:$B,2,0),"-",VLOOKUP(F277,CommentaireValeurIndicateurs!$A:$B,2,0),"-",VLOOKUP(G277,NatureDonnees!$A:$B,2,0),"-",VLOOKUP(H277,Periodes!$A:$B,2,0))</f>
        <v>1308-1-6-4-4-3-1-29</v>
      </c>
      <c r="B277" s="2" t="s">
        <v>64</v>
      </c>
      <c r="C277" s="4" t="s">
        <v>136</v>
      </c>
      <c r="D277" t="s">
        <v>125</v>
      </c>
      <c r="E277" t="s">
        <v>78</v>
      </c>
      <c r="F277" s="4" t="s">
        <v>399</v>
      </c>
      <c r="G277" s="4" t="s">
        <v>400</v>
      </c>
      <c r="H277">
        <v>2028</v>
      </c>
      <c r="I277">
        <v>90.5</v>
      </c>
      <c r="K277" t="s">
        <v>77</v>
      </c>
    </row>
    <row r="278" spans="1:11" x14ac:dyDescent="0.25">
      <c r="A278" t="str">
        <f>_xlfn.CONCAT(VLOOKUP(B278,Indicateurs!$A:$B,2,0),"-",VLOOKUP(C278,Zones!$A:$B,2,0),"-",_xlfn.CONCAT(IF(K278&lt;&gt;"",VLOOKUP(K278,Desagregations!$A:$B,2,0),""),IF(L278&lt;&gt;"","_",""),IF(L278&lt;&gt;"",VLOOKUP(L278,Desagregations!$A:$B,2,0),""),IF(M278&lt;&gt;"","_",""),IF(M278&lt;&gt;"",VLOOKUP(M278,Desagregations!$A:$B,2,0),""),IF(N278&lt;&gt;"","_",""),IF(N278&lt;&gt;"",VLOOKUP(N278,Desagregations!$A:$B,2,0),""),IF(O278&lt;&gt;"","_",""),IF(O278&lt;&gt;"",VLOOKUP(O278,Desagregations!$A:$B,2,0),""),IF(P278&lt;&gt;"","_",""),IF(P278&lt;&gt;"",VLOOKUP(P278,Desagregations!$A:$B,2,0),"")),"-",VLOOKUP(D278,Unites!$A:$B,2,0),"-",VLOOKUP(E278,Sources!$A:$B,2,0),"-",VLOOKUP(F278,CommentaireValeurIndicateurs!$A:$B,2,0),"-",VLOOKUP(G278,NatureDonnees!$A:$B,2,0),"-",VLOOKUP(H278,Periodes!$A:$B,2,0))</f>
        <v>1309-1-6-4-45-3-1-29</v>
      </c>
      <c r="B278" s="2" t="s">
        <v>65</v>
      </c>
      <c r="C278" s="4" t="s">
        <v>136</v>
      </c>
      <c r="D278" t="s">
        <v>125</v>
      </c>
      <c r="E278" t="s">
        <v>119</v>
      </c>
      <c r="F278" s="4" t="s">
        <v>399</v>
      </c>
      <c r="G278" s="4" t="s">
        <v>400</v>
      </c>
      <c r="H278">
        <v>2028</v>
      </c>
      <c r="I278">
        <v>29</v>
      </c>
      <c r="K278" t="s">
        <v>77</v>
      </c>
    </row>
    <row r="279" spans="1:11" x14ac:dyDescent="0.25">
      <c r="A279" t="str">
        <f>_xlfn.CONCAT(VLOOKUP(B279,Indicateurs!$A:$B,2,0),"-",VLOOKUP(C279,Zones!$A:$B,2,0),"-",_xlfn.CONCAT(IF(K279&lt;&gt;"",VLOOKUP(K279,Desagregations!$A:$B,2,0),""),IF(L279&lt;&gt;"","_",""),IF(L279&lt;&gt;"",VLOOKUP(L279,Desagregations!$A:$B,2,0),""),IF(M279&lt;&gt;"","_",""),IF(M279&lt;&gt;"",VLOOKUP(M279,Desagregations!$A:$B,2,0),""),IF(N279&lt;&gt;"","_",""),IF(N279&lt;&gt;"",VLOOKUP(N279,Desagregations!$A:$B,2,0),""),IF(O279&lt;&gt;"","_",""),IF(O279&lt;&gt;"",VLOOKUP(O279,Desagregations!$A:$B,2,0),""),IF(P279&lt;&gt;"","_",""),IF(P279&lt;&gt;"",VLOOKUP(P279,Desagregations!$A:$B,2,0),"")),"-",VLOOKUP(D279,Unites!$A:$B,2,0),"-",VLOOKUP(E279,Sources!$A:$B,2,0),"-",VLOOKUP(F279,CommentaireValeurIndicateurs!$A:$B,2,0),"-",VLOOKUP(G279,NatureDonnees!$A:$B,2,0),"-",VLOOKUP(H279,Periodes!$A:$B,2,0))</f>
        <v>1310-1-6-4-4-3-1-29</v>
      </c>
      <c r="B279" s="2" t="s">
        <v>66</v>
      </c>
      <c r="C279" s="4" t="s">
        <v>136</v>
      </c>
      <c r="D279" t="s">
        <v>125</v>
      </c>
      <c r="E279" t="s">
        <v>78</v>
      </c>
      <c r="F279" s="4" t="s">
        <v>399</v>
      </c>
      <c r="G279" s="4" t="s">
        <v>400</v>
      </c>
      <c r="H279">
        <v>2028</v>
      </c>
      <c r="I279">
        <v>8.3000000000000007</v>
      </c>
      <c r="K279" t="s">
        <v>77</v>
      </c>
    </row>
    <row r="280" spans="1:11" x14ac:dyDescent="0.25">
      <c r="A280" t="str">
        <f>_xlfn.CONCAT(VLOOKUP(B280,Indicateurs!$A:$B,2,0),"-",VLOOKUP(C280,Zones!$A:$B,2,0),"-",_xlfn.CONCAT(IF(K280&lt;&gt;"",VLOOKUP(K280,Desagregations!$A:$B,2,0),""),IF(L280&lt;&gt;"","_",""),IF(L280&lt;&gt;"",VLOOKUP(L280,Desagregations!$A:$B,2,0),""),IF(M280&lt;&gt;"","_",""),IF(M280&lt;&gt;"",VLOOKUP(M280,Desagregations!$A:$B,2,0),""),IF(N280&lt;&gt;"","_",""),IF(N280&lt;&gt;"",VLOOKUP(N280,Desagregations!$A:$B,2,0),""),IF(O280&lt;&gt;"","_",""),IF(O280&lt;&gt;"",VLOOKUP(O280,Desagregations!$A:$B,2,0),""),IF(P280&lt;&gt;"","_",""),IF(P280&lt;&gt;"",VLOOKUP(P280,Desagregations!$A:$B,2,0),"")),"-",VLOOKUP(D280,Unites!$A:$B,2,0),"-",VLOOKUP(E280,Sources!$A:$B,2,0),"-",VLOOKUP(F280,CommentaireValeurIndicateurs!$A:$B,2,0),"-",VLOOKUP(G280,NatureDonnees!$A:$B,2,0),"-",VLOOKUP(H280,Periodes!$A:$B,2,0))</f>
        <v>1311-1-6-4-46-3-1-29</v>
      </c>
      <c r="B280" s="2" t="s">
        <v>67</v>
      </c>
      <c r="C280" s="4" t="s">
        <v>136</v>
      </c>
      <c r="D280" t="s">
        <v>125</v>
      </c>
      <c r="E280" t="s">
        <v>120</v>
      </c>
      <c r="F280" s="4" t="s">
        <v>399</v>
      </c>
      <c r="G280" s="4" t="s">
        <v>400</v>
      </c>
      <c r="H280">
        <v>2028</v>
      </c>
      <c r="I280">
        <v>95</v>
      </c>
      <c r="K280" t="s">
        <v>77</v>
      </c>
    </row>
    <row r="281" spans="1:11" x14ac:dyDescent="0.25">
      <c r="A281" t="str">
        <f>_xlfn.CONCAT(VLOOKUP(B281,Indicateurs!$A:$B,2,0),"-",VLOOKUP(C281,Zones!$A:$B,2,0),"-",_xlfn.CONCAT(IF(K281&lt;&gt;"",VLOOKUP(K281,Desagregations!$A:$B,2,0),""),IF(L281&lt;&gt;"","_",""),IF(L281&lt;&gt;"",VLOOKUP(L281,Desagregations!$A:$B,2,0),""),IF(M281&lt;&gt;"","_",""),IF(M281&lt;&gt;"",VLOOKUP(M281,Desagregations!$A:$B,2,0),""),IF(N281&lt;&gt;"","_",""),IF(N281&lt;&gt;"",VLOOKUP(N281,Desagregations!$A:$B,2,0),""),IF(O281&lt;&gt;"","_",""),IF(O281&lt;&gt;"",VLOOKUP(O281,Desagregations!$A:$B,2,0),""),IF(P281&lt;&gt;"","_",""),IF(P281&lt;&gt;"",VLOOKUP(P281,Desagregations!$A:$B,2,0),"")),"-",VLOOKUP(D281,Unites!$A:$B,2,0),"-",VLOOKUP(E281,Sources!$A:$B,2,0),"-",VLOOKUP(F281,CommentaireValeurIndicateurs!$A:$B,2,0),"-",VLOOKUP(G281,NatureDonnees!$A:$B,2,0),"-",VLOOKUP(H281,Periodes!$A:$B,2,0))</f>
        <v>1312-1-6-4-46-3-1-29</v>
      </c>
      <c r="B281" s="2" t="s">
        <v>68</v>
      </c>
      <c r="C281" s="4" t="s">
        <v>136</v>
      </c>
      <c r="D281" t="s">
        <v>125</v>
      </c>
      <c r="E281" t="s">
        <v>120</v>
      </c>
      <c r="F281" s="4" t="s">
        <v>399</v>
      </c>
      <c r="G281" s="4" t="s">
        <v>400</v>
      </c>
      <c r="H281">
        <v>2028</v>
      </c>
      <c r="I281">
        <v>62.4</v>
      </c>
      <c r="K281" t="s">
        <v>77</v>
      </c>
    </row>
    <row r="282" spans="1:11" x14ac:dyDescent="0.25">
      <c r="A282" t="str">
        <f>_xlfn.CONCAT(VLOOKUP(B282,Indicateurs!$A:$B,2,0),"-",VLOOKUP(C282,Zones!$A:$B,2,0),"-",_xlfn.CONCAT(IF(K282&lt;&gt;"",VLOOKUP(K282,Desagregations!$A:$B,2,0),""),IF(L282&lt;&gt;"","_",""),IF(L282&lt;&gt;"",VLOOKUP(L282,Desagregations!$A:$B,2,0),""),IF(M282&lt;&gt;"","_",""),IF(M282&lt;&gt;"",VLOOKUP(M282,Desagregations!$A:$B,2,0),""),IF(N282&lt;&gt;"","_",""),IF(N282&lt;&gt;"",VLOOKUP(N282,Desagregations!$A:$B,2,0),""),IF(O282&lt;&gt;"","_",""),IF(O282&lt;&gt;"",VLOOKUP(O282,Desagregations!$A:$B,2,0),""),IF(P282&lt;&gt;"","_",""),IF(P282&lt;&gt;"",VLOOKUP(P282,Desagregations!$A:$B,2,0),"")),"-",VLOOKUP(D282,Unites!$A:$B,2,0),"-",VLOOKUP(E282,Sources!$A:$B,2,0),"-",VLOOKUP(F282,CommentaireValeurIndicateurs!$A:$B,2,0),"-",VLOOKUP(G282,NatureDonnees!$A:$B,2,0),"-",VLOOKUP(H282,Periodes!$A:$B,2,0))</f>
        <v>1313-1-6-4-47-3-1-29</v>
      </c>
      <c r="B282" s="2" t="s">
        <v>69</v>
      </c>
      <c r="C282" s="4" t="s">
        <v>136</v>
      </c>
      <c r="D282" t="s">
        <v>125</v>
      </c>
      <c r="E282" t="s">
        <v>121</v>
      </c>
      <c r="F282" s="4" t="s">
        <v>399</v>
      </c>
      <c r="G282" s="4" t="s">
        <v>400</v>
      </c>
      <c r="H282">
        <v>2028</v>
      </c>
      <c r="I282">
        <v>25</v>
      </c>
      <c r="K282" t="s">
        <v>77</v>
      </c>
    </row>
    <row r="283" spans="1:11" x14ac:dyDescent="0.25">
      <c r="A283" t="str">
        <f>_xlfn.CONCAT(VLOOKUP(B283,Indicateurs!$A:$B,2,0),"-",VLOOKUP(C283,Zones!$A:$B,2,0),"-",_xlfn.CONCAT(IF(K283&lt;&gt;"",VLOOKUP(K283,Desagregations!$A:$B,2,0),""),IF(L283&lt;&gt;"","_",""),IF(L283&lt;&gt;"",VLOOKUP(L283,Desagregations!$A:$B,2,0),""),IF(M283&lt;&gt;"","_",""),IF(M283&lt;&gt;"",VLOOKUP(M283,Desagregations!$A:$B,2,0),""),IF(N283&lt;&gt;"","_",""),IF(N283&lt;&gt;"",VLOOKUP(N283,Desagregations!$A:$B,2,0),""),IF(O283&lt;&gt;"","_",""),IF(O283&lt;&gt;"",VLOOKUP(O283,Desagregations!$A:$B,2,0),""),IF(P283&lt;&gt;"","_",""),IF(P283&lt;&gt;"",VLOOKUP(P283,Desagregations!$A:$B,2,0),"")),"-",VLOOKUP(D283,Unites!$A:$B,2,0),"-",VLOOKUP(E283,Sources!$A:$B,2,0),"-",VLOOKUP(F283,CommentaireValeurIndicateurs!$A:$B,2,0),"-",VLOOKUP(G283,NatureDonnees!$A:$B,2,0),"-",VLOOKUP(H283,Periodes!$A:$B,2,0))</f>
        <v>1314-1-6-4-48-3-1-29</v>
      </c>
      <c r="B283" s="2" t="s">
        <v>70</v>
      </c>
      <c r="C283" s="4" t="s">
        <v>136</v>
      </c>
      <c r="D283" t="s">
        <v>125</v>
      </c>
      <c r="E283" t="s">
        <v>122</v>
      </c>
      <c r="F283" s="4" t="s">
        <v>399</v>
      </c>
      <c r="G283" s="4" t="s">
        <v>400</v>
      </c>
      <c r="H283">
        <v>2028</v>
      </c>
      <c r="I283">
        <v>40</v>
      </c>
      <c r="K283" t="s">
        <v>77</v>
      </c>
    </row>
    <row r="284" spans="1:11" x14ac:dyDescent="0.25">
      <c r="A284" t="str">
        <f>_xlfn.CONCAT(VLOOKUP(B284,Indicateurs!$A:$B,2,0),"-",VLOOKUP(C284,Zones!$A:$B,2,0),"-",_xlfn.CONCAT(IF(K284&lt;&gt;"",VLOOKUP(K284,Desagregations!$A:$B,2,0),""),IF(L284&lt;&gt;"","_",""),IF(L284&lt;&gt;"",VLOOKUP(L284,Desagregations!$A:$B,2,0),""),IF(M284&lt;&gt;"","_",""),IF(M284&lt;&gt;"",VLOOKUP(M284,Desagregations!$A:$B,2,0),""),IF(N284&lt;&gt;"","_",""),IF(N284&lt;&gt;"",VLOOKUP(N284,Desagregations!$A:$B,2,0),""),IF(O284&lt;&gt;"","_",""),IF(O284&lt;&gt;"",VLOOKUP(O284,Desagregations!$A:$B,2,0),""),IF(P284&lt;&gt;"","_",""),IF(P284&lt;&gt;"",VLOOKUP(P284,Desagregations!$A:$B,2,0),"")),"-",VLOOKUP(D284,Unites!$A:$B,2,0),"-",VLOOKUP(E284,Sources!$A:$B,2,0),"-",VLOOKUP(F284,CommentaireValeurIndicateurs!$A:$B,2,0),"-",VLOOKUP(G284,NatureDonnees!$A:$B,2,0),"-",VLOOKUP(H284,Periodes!$A:$B,2,0))</f>
        <v>1315-1-6-4-49-3-1-29</v>
      </c>
      <c r="B284" s="2" t="s">
        <v>71</v>
      </c>
      <c r="C284" s="4" t="s">
        <v>136</v>
      </c>
      <c r="D284" t="s">
        <v>125</v>
      </c>
      <c r="E284" t="s">
        <v>123</v>
      </c>
      <c r="F284" s="4" t="s">
        <v>399</v>
      </c>
      <c r="G284" s="4" t="s">
        <v>400</v>
      </c>
      <c r="H284">
        <v>2028</v>
      </c>
      <c r="I284">
        <v>66.88</v>
      </c>
      <c r="K284" t="s">
        <v>77</v>
      </c>
    </row>
    <row r="285" spans="1:11" x14ac:dyDescent="0.25">
      <c r="A285" t="str">
        <f>_xlfn.CONCAT(VLOOKUP(B285,Indicateurs!$A:$B,2,0),"-",VLOOKUP(C285,Zones!$A:$B,2,0),"-",_xlfn.CONCAT(IF(K285&lt;&gt;"",VLOOKUP(K285,Desagregations!$A:$B,2,0),""),IF(L285&lt;&gt;"","_",""),IF(L285&lt;&gt;"",VLOOKUP(L285,Desagregations!$A:$B,2,0),""),IF(M285&lt;&gt;"","_",""),IF(M285&lt;&gt;"",VLOOKUP(M285,Desagregations!$A:$B,2,0),""),IF(N285&lt;&gt;"","_",""),IF(N285&lt;&gt;"",VLOOKUP(N285,Desagregations!$A:$B,2,0),""),IF(O285&lt;&gt;"","_",""),IF(O285&lt;&gt;"",VLOOKUP(O285,Desagregations!$A:$B,2,0),""),IF(P285&lt;&gt;"","_",""),IF(P285&lt;&gt;"",VLOOKUP(P285,Desagregations!$A:$B,2,0),"")),"-",VLOOKUP(D285,Unites!$A:$B,2,0),"-",VLOOKUP(E285,Sources!$A:$B,2,0),"-",VLOOKUP(F285,CommentaireValeurIndicateurs!$A:$B,2,0),"-",VLOOKUP(G285,NatureDonnees!$A:$B,2,0),"-",VLOOKUP(H285,Periodes!$A:$B,2,0))</f>
        <v>1316-1-6-4-50-3-1-29</v>
      </c>
      <c r="B285" s="2" t="s">
        <v>72</v>
      </c>
      <c r="C285" s="4" t="s">
        <v>136</v>
      </c>
      <c r="D285" t="s">
        <v>125</v>
      </c>
      <c r="E285" t="s">
        <v>124</v>
      </c>
      <c r="F285" s="4" t="s">
        <v>399</v>
      </c>
      <c r="G285" s="4" t="s">
        <v>400</v>
      </c>
      <c r="H285">
        <v>2028</v>
      </c>
      <c r="I285">
        <v>68</v>
      </c>
      <c r="K285" t="s">
        <v>77</v>
      </c>
    </row>
    <row r="286" spans="1:11" x14ac:dyDescent="0.25">
      <c r="A286" t="str">
        <f>_xlfn.CONCAT(VLOOKUP(B286,Indicateurs!$A:$B,2,0),"-",VLOOKUP(C286,Zones!$A:$B,2,0),"-",_xlfn.CONCAT(IF(K286&lt;&gt;"",VLOOKUP(K286,Desagregations!$A:$B,2,0),""),IF(L286&lt;&gt;"","_",""),IF(L286&lt;&gt;"",VLOOKUP(L286,Desagregations!$A:$B,2,0),""),IF(M286&lt;&gt;"","_",""),IF(M286&lt;&gt;"",VLOOKUP(M286,Desagregations!$A:$B,2,0),""),IF(N286&lt;&gt;"","_",""),IF(N286&lt;&gt;"",VLOOKUP(N286,Desagregations!$A:$B,2,0),""),IF(O286&lt;&gt;"","_",""),IF(O286&lt;&gt;"",VLOOKUP(O286,Desagregations!$A:$B,2,0),""),IF(P286&lt;&gt;"","_",""),IF(P286&lt;&gt;"",VLOOKUP(P286,Desagregations!$A:$B,2,0),"")),"-",VLOOKUP(D286,Unites!$A:$B,2,0),"-",VLOOKUP(E286,Sources!$A:$B,2,0),"-",VLOOKUP(F286,CommentaireValeurIndicateurs!$A:$B,2,0),"-",VLOOKUP(G286,NatureDonnees!$A:$B,2,0),"-",VLOOKUP(H286,Periodes!$A:$B,2,0))</f>
        <v>1246-1-6-4-4-3-1-30</v>
      </c>
      <c r="B286" s="2" t="s">
        <v>2</v>
      </c>
      <c r="C286" s="4" t="s">
        <v>136</v>
      </c>
      <c r="D286" t="s">
        <v>125</v>
      </c>
      <c r="E286" t="s">
        <v>78</v>
      </c>
      <c r="F286" s="4" t="s">
        <v>399</v>
      </c>
      <c r="G286" s="4" t="s">
        <v>400</v>
      </c>
      <c r="H286">
        <v>2029</v>
      </c>
      <c r="I286">
        <v>34.71</v>
      </c>
      <c r="K286" t="s">
        <v>77</v>
      </c>
    </row>
    <row r="287" spans="1:11" x14ac:dyDescent="0.25">
      <c r="A287" t="str">
        <f>_xlfn.CONCAT(VLOOKUP(B287,Indicateurs!$A:$B,2,0),"-",VLOOKUP(C287,Zones!$A:$B,2,0),"-",_xlfn.CONCAT(IF(K287&lt;&gt;"",VLOOKUP(K287,Desagregations!$A:$B,2,0),""),IF(L287&lt;&gt;"","_",""),IF(L287&lt;&gt;"",VLOOKUP(L287,Desagregations!$A:$B,2,0),""),IF(M287&lt;&gt;"","_",""),IF(M287&lt;&gt;"",VLOOKUP(M287,Desagregations!$A:$B,2,0),""),IF(N287&lt;&gt;"","_",""),IF(N287&lt;&gt;"",VLOOKUP(N287,Desagregations!$A:$B,2,0),""),IF(O287&lt;&gt;"","_",""),IF(O287&lt;&gt;"",VLOOKUP(O287,Desagregations!$A:$B,2,0),""),IF(P287&lt;&gt;"","_",""),IF(P287&lt;&gt;"",VLOOKUP(P287,Desagregations!$A:$B,2,0),"")),"-",VLOOKUP(D287,Unites!$A:$B,2,0),"-",VLOOKUP(E287,Sources!$A:$B,2,0),"-",VLOOKUP(F287,CommentaireValeurIndicateurs!$A:$B,2,0),"-",VLOOKUP(G287,NatureDonnees!$A:$B,2,0),"-",VLOOKUP(H287,Periodes!$A:$B,2,0))</f>
        <v>1247-1-6-4-4-3-1-30</v>
      </c>
      <c r="B287" s="2" t="s">
        <v>3</v>
      </c>
      <c r="C287" s="4" t="s">
        <v>136</v>
      </c>
      <c r="D287" t="s">
        <v>125</v>
      </c>
      <c r="E287" t="s">
        <v>78</v>
      </c>
      <c r="F287" s="4" t="s">
        <v>399</v>
      </c>
      <c r="G287" s="4" t="s">
        <v>400</v>
      </c>
      <c r="H287">
        <v>2029</v>
      </c>
      <c r="I287">
        <v>61.65</v>
      </c>
      <c r="K287" t="s">
        <v>77</v>
      </c>
    </row>
    <row r="288" spans="1:11" x14ac:dyDescent="0.25">
      <c r="A288" t="str">
        <f>_xlfn.CONCAT(VLOOKUP(B288,Indicateurs!$A:$B,2,0),"-",VLOOKUP(C288,Zones!$A:$B,2,0),"-",_xlfn.CONCAT(IF(K288&lt;&gt;"",VLOOKUP(K288,Desagregations!$A:$B,2,0),""),IF(L288&lt;&gt;"","_",""),IF(L288&lt;&gt;"",VLOOKUP(L288,Desagregations!$A:$B,2,0),""),IF(M288&lt;&gt;"","_",""),IF(M288&lt;&gt;"",VLOOKUP(M288,Desagregations!$A:$B,2,0),""),IF(N288&lt;&gt;"","_",""),IF(N288&lt;&gt;"",VLOOKUP(N288,Desagregations!$A:$B,2,0),""),IF(O288&lt;&gt;"","_",""),IF(O288&lt;&gt;"",VLOOKUP(O288,Desagregations!$A:$B,2,0),""),IF(P288&lt;&gt;"","_",""),IF(P288&lt;&gt;"",VLOOKUP(P288,Desagregations!$A:$B,2,0),"")),"-",VLOOKUP(D288,Unites!$A:$B,2,0),"-",VLOOKUP(E288,Sources!$A:$B,2,0),"-",VLOOKUP(F288,CommentaireValeurIndicateurs!$A:$B,2,0),"-",VLOOKUP(G288,NatureDonnees!$A:$B,2,0),"-",VLOOKUP(H288,Periodes!$A:$B,2,0))</f>
        <v>1248-1-6-5-5-3-1-30</v>
      </c>
      <c r="B288" s="2" t="s">
        <v>4</v>
      </c>
      <c r="C288" s="4" t="s">
        <v>136</v>
      </c>
      <c r="D288" t="s">
        <v>126</v>
      </c>
      <c r="E288" t="s">
        <v>79</v>
      </c>
      <c r="F288" s="4" t="s">
        <v>399</v>
      </c>
      <c r="G288" s="4" t="s">
        <v>400</v>
      </c>
      <c r="H288">
        <v>2029</v>
      </c>
      <c r="I288">
        <v>67.239999999999995</v>
      </c>
      <c r="K288" t="s">
        <v>77</v>
      </c>
    </row>
    <row r="289" spans="1:11" x14ac:dyDescent="0.25">
      <c r="A289" t="str">
        <f>_xlfn.CONCAT(VLOOKUP(B289,Indicateurs!$A:$B,2,0),"-",VLOOKUP(C289,Zones!$A:$B,2,0),"-",_xlfn.CONCAT(IF(K289&lt;&gt;"",VLOOKUP(K289,Desagregations!$A:$B,2,0),""),IF(L289&lt;&gt;"","_",""),IF(L289&lt;&gt;"",VLOOKUP(L289,Desagregations!$A:$B,2,0),""),IF(M289&lt;&gt;"","_",""),IF(M289&lt;&gt;"",VLOOKUP(M289,Desagregations!$A:$B,2,0),""),IF(N289&lt;&gt;"","_",""),IF(N289&lt;&gt;"",VLOOKUP(N289,Desagregations!$A:$B,2,0),""),IF(O289&lt;&gt;"","_",""),IF(O289&lt;&gt;"",VLOOKUP(O289,Desagregations!$A:$B,2,0),""),IF(P289&lt;&gt;"","_",""),IF(P289&lt;&gt;"",VLOOKUP(P289,Desagregations!$A:$B,2,0),"")),"-",VLOOKUP(D289,Unites!$A:$B,2,0),"-",VLOOKUP(E289,Sources!$A:$B,2,0),"-",VLOOKUP(F289,CommentaireValeurIndicateurs!$A:$B,2,0),"-",VLOOKUP(G289,NatureDonnees!$A:$B,2,0),"-",VLOOKUP(H289,Periodes!$A:$B,2,0))</f>
        <v>1249-1-6-4-4-3-1-30</v>
      </c>
      <c r="B289" s="2" t="s">
        <v>5</v>
      </c>
      <c r="C289" s="4" t="s">
        <v>136</v>
      </c>
      <c r="D289" t="s">
        <v>125</v>
      </c>
      <c r="E289" t="s">
        <v>78</v>
      </c>
      <c r="F289" s="4" t="s">
        <v>399</v>
      </c>
      <c r="G289" s="4" t="s">
        <v>400</v>
      </c>
      <c r="H289">
        <v>2029</v>
      </c>
      <c r="I289">
        <v>89.51</v>
      </c>
      <c r="K289" t="s">
        <v>77</v>
      </c>
    </row>
    <row r="290" spans="1:11" x14ac:dyDescent="0.25">
      <c r="A290" t="str">
        <f>_xlfn.CONCAT(VLOOKUP(B290,Indicateurs!$A:$B,2,0),"-",VLOOKUP(C290,Zones!$A:$B,2,0),"-",_xlfn.CONCAT(IF(K290&lt;&gt;"",VLOOKUP(K290,Desagregations!$A:$B,2,0),""),IF(L290&lt;&gt;"","_",""),IF(L290&lt;&gt;"",VLOOKUP(L290,Desagregations!$A:$B,2,0),""),IF(M290&lt;&gt;"","_",""),IF(M290&lt;&gt;"",VLOOKUP(M290,Desagregations!$A:$B,2,0),""),IF(N290&lt;&gt;"","_",""),IF(N290&lt;&gt;"",VLOOKUP(N290,Desagregations!$A:$B,2,0),""),IF(O290&lt;&gt;"","_",""),IF(O290&lt;&gt;"",VLOOKUP(O290,Desagregations!$A:$B,2,0),""),IF(P290&lt;&gt;"","_",""),IF(P290&lt;&gt;"",VLOOKUP(P290,Desagregations!$A:$B,2,0),"")),"-",VLOOKUP(D290,Unites!$A:$B,2,0),"-",VLOOKUP(E290,Sources!$A:$B,2,0),"-",VLOOKUP(F290,CommentaireValeurIndicateurs!$A:$B,2,0),"-",VLOOKUP(G290,NatureDonnees!$A:$B,2,0),"-",VLOOKUP(H290,Periodes!$A:$B,2,0))</f>
        <v>1250-1-6-4-6-3-1-30</v>
      </c>
      <c r="B290" s="2" t="s">
        <v>6</v>
      </c>
      <c r="C290" s="4" t="s">
        <v>136</v>
      </c>
      <c r="D290" t="s">
        <v>125</v>
      </c>
      <c r="E290" t="s">
        <v>80</v>
      </c>
      <c r="F290" s="4" t="s">
        <v>399</v>
      </c>
      <c r="G290" s="4" t="s">
        <v>400</v>
      </c>
      <c r="H290">
        <v>2029</v>
      </c>
      <c r="I290">
        <v>1.5</v>
      </c>
      <c r="K290" t="s">
        <v>77</v>
      </c>
    </row>
    <row r="291" spans="1:11" x14ac:dyDescent="0.25">
      <c r="A291" t="str">
        <f>_xlfn.CONCAT(VLOOKUP(B291,Indicateurs!$A:$B,2,0),"-",VLOOKUP(C291,Zones!$A:$B,2,0),"-",_xlfn.CONCAT(IF(K291&lt;&gt;"",VLOOKUP(K291,Desagregations!$A:$B,2,0),""),IF(L291&lt;&gt;"","_",""),IF(L291&lt;&gt;"",VLOOKUP(L291,Desagregations!$A:$B,2,0),""),IF(M291&lt;&gt;"","_",""),IF(M291&lt;&gt;"",VLOOKUP(M291,Desagregations!$A:$B,2,0),""),IF(N291&lt;&gt;"","_",""),IF(N291&lt;&gt;"",VLOOKUP(N291,Desagregations!$A:$B,2,0),""),IF(O291&lt;&gt;"","_",""),IF(O291&lt;&gt;"",VLOOKUP(O291,Desagregations!$A:$B,2,0),""),IF(P291&lt;&gt;"","_",""),IF(P291&lt;&gt;"",VLOOKUP(P291,Desagregations!$A:$B,2,0),"")),"-",VLOOKUP(D291,Unites!$A:$B,2,0),"-",VLOOKUP(E291,Sources!$A:$B,2,0),"-",VLOOKUP(F291,CommentaireValeurIndicateurs!$A:$B,2,0),"-",VLOOKUP(G291,NatureDonnees!$A:$B,2,0),"-",VLOOKUP(H291,Periodes!$A:$B,2,0))</f>
        <v>1251-1-6-4-7-3-1-30</v>
      </c>
      <c r="B291" s="2" t="s">
        <v>7</v>
      </c>
      <c r="C291" s="4" t="s">
        <v>136</v>
      </c>
      <c r="D291" t="s">
        <v>125</v>
      </c>
      <c r="E291" t="s">
        <v>81</v>
      </c>
      <c r="F291" s="4" t="s">
        <v>399</v>
      </c>
      <c r="G291" s="4" t="s">
        <v>400</v>
      </c>
      <c r="H291">
        <v>2029</v>
      </c>
      <c r="I291">
        <v>60.18</v>
      </c>
      <c r="K291" t="s">
        <v>77</v>
      </c>
    </row>
    <row r="292" spans="1:11" x14ac:dyDescent="0.25">
      <c r="A292" t="str">
        <f>_xlfn.CONCAT(VLOOKUP(B292,Indicateurs!$A:$B,2,0),"-",VLOOKUP(C292,Zones!$A:$B,2,0),"-",_xlfn.CONCAT(IF(K292&lt;&gt;"",VLOOKUP(K292,Desagregations!$A:$B,2,0),""),IF(L292&lt;&gt;"","_",""),IF(L292&lt;&gt;"",VLOOKUP(L292,Desagregations!$A:$B,2,0),""),IF(M292&lt;&gt;"","_",""),IF(M292&lt;&gt;"",VLOOKUP(M292,Desagregations!$A:$B,2,0),""),IF(N292&lt;&gt;"","_",""),IF(N292&lt;&gt;"",VLOOKUP(N292,Desagregations!$A:$B,2,0),""),IF(O292&lt;&gt;"","_",""),IF(O292&lt;&gt;"",VLOOKUP(O292,Desagregations!$A:$B,2,0),""),IF(P292&lt;&gt;"","_",""),IF(P292&lt;&gt;"",VLOOKUP(P292,Desagregations!$A:$B,2,0),"")),"-",VLOOKUP(D292,Unites!$A:$B,2,0),"-",VLOOKUP(E292,Sources!$A:$B,2,0),"-",VLOOKUP(F292,CommentaireValeurIndicateurs!$A:$B,2,0),"-",VLOOKUP(G292,NatureDonnees!$A:$B,2,0),"-",VLOOKUP(H292,Periodes!$A:$B,2,0))</f>
        <v>1252-1-6-4-8-3-1-30</v>
      </c>
      <c r="B292" s="2" t="s">
        <v>8</v>
      </c>
      <c r="C292" s="4" t="s">
        <v>136</v>
      </c>
      <c r="D292" t="s">
        <v>125</v>
      </c>
      <c r="E292" t="s">
        <v>82</v>
      </c>
      <c r="F292" s="4" t="s">
        <v>399</v>
      </c>
      <c r="G292" s="4" t="s">
        <v>400</v>
      </c>
      <c r="H292">
        <v>2029</v>
      </c>
      <c r="I292">
        <v>10.95</v>
      </c>
      <c r="K292" t="s">
        <v>77</v>
      </c>
    </row>
    <row r="293" spans="1:11" x14ac:dyDescent="0.25">
      <c r="A293" t="str">
        <f>_xlfn.CONCAT(VLOOKUP(B293,Indicateurs!$A:$B,2,0),"-",VLOOKUP(C293,Zones!$A:$B,2,0),"-",_xlfn.CONCAT(IF(K293&lt;&gt;"",VLOOKUP(K293,Desagregations!$A:$B,2,0),""),IF(L293&lt;&gt;"","_",""),IF(L293&lt;&gt;"",VLOOKUP(L293,Desagregations!$A:$B,2,0),""),IF(M293&lt;&gt;"","_",""),IF(M293&lt;&gt;"",VLOOKUP(M293,Desagregations!$A:$B,2,0),""),IF(N293&lt;&gt;"","_",""),IF(N293&lt;&gt;"",VLOOKUP(N293,Desagregations!$A:$B,2,0),""),IF(O293&lt;&gt;"","_",""),IF(O293&lt;&gt;"",VLOOKUP(O293,Desagregations!$A:$B,2,0),""),IF(P293&lt;&gt;"","_",""),IF(P293&lt;&gt;"",VLOOKUP(P293,Desagregations!$A:$B,2,0),"")),"-",VLOOKUP(D293,Unites!$A:$B,2,0),"-",VLOOKUP(E293,Sources!$A:$B,2,0),"-",VLOOKUP(F293,CommentaireValeurIndicateurs!$A:$B,2,0),"-",VLOOKUP(G293,NatureDonnees!$A:$B,2,0),"-",VLOOKUP(H293,Periodes!$A:$B,2,0))</f>
        <v>1253-1-6-4-8-3-1-30</v>
      </c>
      <c r="B293" s="2" t="s">
        <v>9</v>
      </c>
      <c r="C293" s="4" t="s">
        <v>136</v>
      </c>
      <c r="D293" t="s">
        <v>125</v>
      </c>
      <c r="E293" t="s">
        <v>82</v>
      </c>
      <c r="F293" s="4" t="s">
        <v>399</v>
      </c>
      <c r="G293" s="4" t="s">
        <v>400</v>
      </c>
      <c r="H293">
        <v>2029</v>
      </c>
      <c r="I293">
        <v>27.54</v>
      </c>
      <c r="K293" t="s">
        <v>77</v>
      </c>
    </row>
    <row r="294" spans="1:11" x14ac:dyDescent="0.25">
      <c r="A294" t="str">
        <f>_xlfn.CONCAT(VLOOKUP(B294,Indicateurs!$A:$B,2,0),"-",VLOOKUP(C294,Zones!$A:$B,2,0),"-",_xlfn.CONCAT(IF(K294&lt;&gt;"",VLOOKUP(K294,Desagregations!$A:$B,2,0),""),IF(L294&lt;&gt;"","_",""),IF(L294&lt;&gt;"",VLOOKUP(L294,Desagregations!$A:$B,2,0),""),IF(M294&lt;&gt;"","_",""),IF(M294&lt;&gt;"",VLOOKUP(M294,Desagregations!$A:$B,2,0),""),IF(N294&lt;&gt;"","_",""),IF(N294&lt;&gt;"",VLOOKUP(N294,Desagregations!$A:$B,2,0),""),IF(O294&lt;&gt;"","_",""),IF(O294&lt;&gt;"",VLOOKUP(O294,Desagregations!$A:$B,2,0),""),IF(P294&lt;&gt;"","_",""),IF(P294&lt;&gt;"",VLOOKUP(P294,Desagregations!$A:$B,2,0),"")),"-",VLOOKUP(D294,Unites!$A:$B,2,0),"-",VLOOKUP(E294,Sources!$A:$B,2,0),"-",VLOOKUP(F294,CommentaireValeurIndicateurs!$A:$B,2,0),"-",VLOOKUP(G294,NatureDonnees!$A:$B,2,0),"-",VLOOKUP(H294,Periodes!$A:$B,2,0))</f>
        <v>1254-1-6-4-4-3-1-30</v>
      </c>
      <c r="B294" s="2" t="s">
        <v>10</v>
      </c>
      <c r="C294" s="4" t="s">
        <v>136</v>
      </c>
      <c r="D294" t="s">
        <v>125</v>
      </c>
      <c r="E294" t="s">
        <v>78</v>
      </c>
      <c r="F294" s="4" t="s">
        <v>399</v>
      </c>
      <c r="G294" s="4" t="s">
        <v>400</v>
      </c>
      <c r="H294">
        <v>2029</v>
      </c>
      <c r="I294">
        <v>23.99</v>
      </c>
      <c r="K294" t="s">
        <v>77</v>
      </c>
    </row>
    <row r="295" spans="1:11" x14ac:dyDescent="0.25">
      <c r="A295" t="str">
        <f>_xlfn.CONCAT(VLOOKUP(B295,Indicateurs!$A:$B,2,0),"-",VLOOKUP(C295,Zones!$A:$B,2,0),"-",_xlfn.CONCAT(IF(K295&lt;&gt;"",VLOOKUP(K295,Desagregations!$A:$B,2,0),""),IF(L295&lt;&gt;"","_",""),IF(L295&lt;&gt;"",VLOOKUP(L295,Desagregations!$A:$B,2,0),""),IF(M295&lt;&gt;"","_",""),IF(M295&lt;&gt;"",VLOOKUP(M295,Desagregations!$A:$B,2,0),""),IF(N295&lt;&gt;"","_",""),IF(N295&lt;&gt;"",VLOOKUP(N295,Desagregations!$A:$B,2,0),""),IF(O295&lt;&gt;"","_",""),IF(O295&lt;&gt;"",VLOOKUP(O295,Desagregations!$A:$B,2,0),""),IF(P295&lt;&gt;"","_",""),IF(P295&lt;&gt;"",VLOOKUP(P295,Desagregations!$A:$B,2,0),"")),"-",VLOOKUP(D295,Unites!$A:$B,2,0),"-",VLOOKUP(E295,Sources!$A:$B,2,0),"-",VLOOKUP(F295,CommentaireValeurIndicateurs!$A:$B,2,0),"-",VLOOKUP(G295,NatureDonnees!$A:$B,2,0),"-",VLOOKUP(H295,Periodes!$A:$B,2,0))</f>
        <v>1255-1-6-4-4-3-1-30</v>
      </c>
      <c r="B295" s="2" t="s">
        <v>11</v>
      </c>
      <c r="C295" s="4" t="s">
        <v>136</v>
      </c>
      <c r="D295" t="s">
        <v>125</v>
      </c>
      <c r="E295" t="s">
        <v>78</v>
      </c>
      <c r="F295" s="4" t="s">
        <v>399</v>
      </c>
      <c r="G295" s="4" t="s">
        <v>400</v>
      </c>
      <c r="H295">
        <v>2029</v>
      </c>
      <c r="I295">
        <v>91.09</v>
      </c>
      <c r="K295" t="s">
        <v>77</v>
      </c>
    </row>
    <row r="296" spans="1:11" x14ac:dyDescent="0.25">
      <c r="A296" t="str">
        <f>_xlfn.CONCAT(VLOOKUP(B296,Indicateurs!$A:$B,2,0),"-",VLOOKUP(C296,Zones!$A:$B,2,0),"-",_xlfn.CONCAT(IF(K296&lt;&gt;"",VLOOKUP(K296,Desagregations!$A:$B,2,0),""),IF(L296&lt;&gt;"","_",""),IF(L296&lt;&gt;"",VLOOKUP(L296,Desagregations!$A:$B,2,0),""),IF(M296&lt;&gt;"","_",""),IF(M296&lt;&gt;"",VLOOKUP(M296,Desagregations!$A:$B,2,0),""),IF(N296&lt;&gt;"","_",""),IF(N296&lt;&gt;"",VLOOKUP(N296,Desagregations!$A:$B,2,0),""),IF(O296&lt;&gt;"","_",""),IF(O296&lt;&gt;"",VLOOKUP(O296,Desagregations!$A:$B,2,0),""),IF(P296&lt;&gt;"","_",""),IF(P296&lt;&gt;"",VLOOKUP(P296,Desagregations!$A:$B,2,0),"")),"-",VLOOKUP(D296,Unites!$A:$B,2,0),"-",VLOOKUP(E296,Sources!$A:$B,2,0),"-",VLOOKUP(F296,CommentaireValeurIndicateurs!$A:$B,2,0),"-",VLOOKUP(G296,NatureDonnees!$A:$B,2,0),"-",VLOOKUP(H296,Periodes!$A:$B,2,0))</f>
        <v>1256-1-6-4-9-3-1-30</v>
      </c>
      <c r="B296" s="2" t="s">
        <v>12</v>
      </c>
      <c r="C296" s="4" t="s">
        <v>136</v>
      </c>
      <c r="D296" s="4" t="s">
        <v>125</v>
      </c>
      <c r="E296" t="s">
        <v>83</v>
      </c>
      <c r="F296" s="4" t="s">
        <v>399</v>
      </c>
      <c r="G296" s="4" t="s">
        <v>400</v>
      </c>
      <c r="H296">
        <v>2029</v>
      </c>
      <c r="I296">
        <v>80</v>
      </c>
      <c r="K296" t="s">
        <v>77</v>
      </c>
    </row>
    <row r="297" spans="1:11" x14ac:dyDescent="0.25">
      <c r="A297" t="str">
        <f>_xlfn.CONCAT(VLOOKUP(B297,Indicateurs!$A:$B,2,0),"-",VLOOKUP(C297,Zones!$A:$B,2,0),"-",_xlfn.CONCAT(IF(K297&lt;&gt;"",VLOOKUP(K297,Desagregations!$A:$B,2,0),""),IF(L297&lt;&gt;"","_",""),IF(L297&lt;&gt;"",VLOOKUP(L297,Desagregations!$A:$B,2,0),""),IF(M297&lt;&gt;"","_",""),IF(M297&lt;&gt;"",VLOOKUP(M297,Desagregations!$A:$B,2,0),""),IF(N297&lt;&gt;"","_",""),IF(N297&lt;&gt;"",VLOOKUP(N297,Desagregations!$A:$B,2,0),""),IF(O297&lt;&gt;"","_",""),IF(O297&lt;&gt;"",VLOOKUP(O297,Desagregations!$A:$B,2,0),""),IF(P297&lt;&gt;"","_",""),IF(P297&lt;&gt;"",VLOOKUP(P297,Desagregations!$A:$B,2,0),"")),"-",VLOOKUP(D297,Unites!$A:$B,2,0),"-",VLOOKUP(E297,Sources!$A:$B,2,0),"-",VLOOKUP(F297,CommentaireValeurIndicateurs!$A:$B,2,0),"-",VLOOKUP(G297,NatureDonnees!$A:$B,2,0),"-",VLOOKUP(H297,Periodes!$A:$B,2,0))</f>
        <v>1257-1-6-6-10-3-1-30</v>
      </c>
      <c r="B297" s="2" t="s">
        <v>13</v>
      </c>
      <c r="C297" s="4" t="s">
        <v>136</v>
      </c>
      <c r="D297" t="s">
        <v>127</v>
      </c>
      <c r="E297" t="s">
        <v>84</v>
      </c>
      <c r="F297" s="4" t="s">
        <v>399</v>
      </c>
      <c r="G297" s="4" t="s">
        <v>400</v>
      </c>
      <c r="H297">
        <v>2029</v>
      </c>
      <c r="I297">
        <v>15</v>
      </c>
      <c r="K297" t="s">
        <v>77</v>
      </c>
    </row>
    <row r="298" spans="1:11" x14ac:dyDescent="0.25">
      <c r="A298" t="str">
        <f>_xlfn.CONCAT(VLOOKUP(B298,Indicateurs!$A:$B,2,0),"-",VLOOKUP(C298,Zones!$A:$B,2,0),"-",_xlfn.CONCAT(IF(K298&lt;&gt;"",VLOOKUP(K298,Desagregations!$A:$B,2,0),""),IF(L298&lt;&gt;"","_",""),IF(L298&lt;&gt;"",VLOOKUP(L298,Desagregations!$A:$B,2,0),""),IF(M298&lt;&gt;"","_",""),IF(M298&lt;&gt;"",VLOOKUP(M298,Desagregations!$A:$B,2,0),""),IF(N298&lt;&gt;"","_",""),IF(N298&lt;&gt;"",VLOOKUP(N298,Desagregations!$A:$B,2,0),""),IF(O298&lt;&gt;"","_",""),IF(O298&lt;&gt;"",VLOOKUP(O298,Desagregations!$A:$B,2,0),""),IF(P298&lt;&gt;"","_",""),IF(P298&lt;&gt;"",VLOOKUP(P298,Desagregations!$A:$B,2,0),"")),"-",VLOOKUP(D298,Unites!$A:$B,2,0),"-",VLOOKUP(E298,Sources!$A:$B,2,0),"-",VLOOKUP(F298,CommentaireValeurIndicateurs!$A:$B,2,0),"-",VLOOKUP(G298,NatureDonnees!$A:$B,2,0),"-",VLOOKUP(H298,Periodes!$A:$B,2,0))</f>
        <v>1258-1-6-4-10-3-1-30</v>
      </c>
      <c r="B298" s="2" t="s">
        <v>14</v>
      </c>
      <c r="C298" s="4" t="s">
        <v>136</v>
      </c>
      <c r="D298" t="s">
        <v>125</v>
      </c>
      <c r="E298" t="s">
        <v>84</v>
      </c>
      <c r="F298" s="4" t="s">
        <v>399</v>
      </c>
      <c r="G298" s="4" t="s">
        <v>400</v>
      </c>
      <c r="H298">
        <v>2029</v>
      </c>
      <c r="I298">
        <v>74</v>
      </c>
      <c r="K298" t="s">
        <v>77</v>
      </c>
    </row>
    <row r="299" spans="1:11" x14ac:dyDescent="0.25">
      <c r="A299" t="str">
        <f>_xlfn.CONCAT(VLOOKUP(B299,Indicateurs!$A:$B,2,0),"-",VLOOKUP(C299,Zones!$A:$B,2,0),"-",_xlfn.CONCAT(IF(K299&lt;&gt;"",VLOOKUP(K299,Desagregations!$A:$B,2,0),""),IF(L299&lt;&gt;"","_",""),IF(L299&lt;&gt;"",VLOOKUP(L299,Desagregations!$A:$B,2,0),""),IF(M299&lt;&gt;"","_",""),IF(M299&lt;&gt;"",VLOOKUP(M299,Desagregations!$A:$B,2,0),""),IF(N299&lt;&gt;"","_",""),IF(N299&lt;&gt;"",VLOOKUP(N299,Desagregations!$A:$B,2,0),""),IF(O299&lt;&gt;"","_",""),IF(O299&lt;&gt;"",VLOOKUP(O299,Desagregations!$A:$B,2,0),""),IF(P299&lt;&gt;"","_",""),IF(P299&lt;&gt;"",VLOOKUP(P299,Desagregations!$A:$B,2,0),"")),"-",VLOOKUP(D299,Unites!$A:$B,2,0),"-",VLOOKUP(E299,Sources!$A:$B,2,0),"-",VLOOKUP(F299,CommentaireValeurIndicateurs!$A:$B,2,0),"-",VLOOKUP(G299,NatureDonnees!$A:$B,2,0),"-",VLOOKUP(H299,Periodes!$A:$B,2,0))</f>
        <v>1259-1-6-4-4-3-1-30</v>
      </c>
      <c r="B299" s="2" t="s">
        <v>15</v>
      </c>
      <c r="C299" s="4" t="s">
        <v>136</v>
      </c>
      <c r="D299" t="s">
        <v>125</v>
      </c>
      <c r="E299" t="s">
        <v>78</v>
      </c>
      <c r="F299" s="4" t="s">
        <v>399</v>
      </c>
      <c r="G299" s="4" t="s">
        <v>400</v>
      </c>
      <c r="H299">
        <v>2029</v>
      </c>
      <c r="I299">
        <v>50.61</v>
      </c>
      <c r="K299" t="s">
        <v>77</v>
      </c>
    </row>
    <row r="300" spans="1:11" x14ac:dyDescent="0.25">
      <c r="A300" t="str">
        <f>_xlfn.CONCAT(VLOOKUP(B300,Indicateurs!$A:$B,2,0),"-",VLOOKUP(C300,Zones!$A:$B,2,0),"-",_xlfn.CONCAT(IF(K300&lt;&gt;"",VLOOKUP(K300,Desagregations!$A:$B,2,0),""),IF(L300&lt;&gt;"","_",""),IF(L300&lt;&gt;"",VLOOKUP(L300,Desagregations!$A:$B,2,0),""),IF(M300&lt;&gt;"","_",""),IF(M300&lt;&gt;"",VLOOKUP(M300,Desagregations!$A:$B,2,0),""),IF(N300&lt;&gt;"","_",""),IF(N300&lt;&gt;"",VLOOKUP(N300,Desagregations!$A:$B,2,0),""),IF(O300&lt;&gt;"","_",""),IF(O300&lt;&gt;"",VLOOKUP(O300,Desagregations!$A:$B,2,0),""),IF(P300&lt;&gt;"","_",""),IF(P300&lt;&gt;"",VLOOKUP(P300,Desagregations!$A:$B,2,0),"")),"-",VLOOKUP(D300,Unites!$A:$B,2,0),"-",VLOOKUP(E300,Sources!$A:$B,2,0),"-",VLOOKUP(F300,CommentaireValeurIndicateurs!$A:$B,2,0),"-",VLOOKUP(G300,NatureDonnees!$A:$B,2,0),"-",VLOOKUP(H300,Periodes!$A:$B,2,0))</f>
        <v>1260-1-6-7-11-3-1-30</v>
      </c>
      <c r="B300" s="2" t="s">
        <v>16</v>
      </c>
      <c r="C300" s="4" t="s">
        <v>136</v>
      </c>
      <c r="D300" t="s">
        <v>128</v>
      </c>
      <c r="E300" t="s">
        <v>85</v>
      </c>
      <c r="F300" s="4" t="s">
        <v>399</v>
      </c>
      <c r="G300" s="4" t="s">
        <v>400</v>
      </c>
      <c r="H300">
        <v>2029</v>
      </c>
      <c r="I300">
        <v>7</v>
      </c>
      <c r="K300" t="s">
        <v>77</v>
      </c>
    </row>
    <row r="301" spans="1:11" x14ac:dyDescent="0.25">
      <c r="A301" t="str">
        <f>_xlfn.CONCAT(VLOOKUP(B301,Indicateurs!$A:$B,2,0),"-",VLOOKUP(C301,Zones!$A:$B,2,0),"-",_xlfn.CONCAT(IF(K301&lt;&gt;"",VLOOKUP(K301,Desagregations!$A:$B,2,0),""),IF(L301&lt;&gt;"","_",""),IF(L301&lt;&gt;"",VLOOKUP(L301,Desagregations!$A:$B,2,0),""),IF(M301&lt;&gt;"","_",""),IF(M301&lt;&gt;"",VLOOKUP(M301,Desagregations!$A:$B,2,0),""),IF(N301&lt;&gt;"","_",""),IF(N301&lt;&gt;"",VLOOKUP(N301,Desagregations!$A:$B,2,0),""),IF(O301&lt;&gt;"","_",""),IF(O301&lt;&gt;"",VLOOKUP(O301,Desagregations!$A:$B,2,0),""),IF(P301&lt;&gt;"","_",""),IF(P301&lt;&gt;"",VLOOKUP(P301,Desagregations!$A:$B,2,0),"")),"-",VLOOKUP(D301,Unites!$A:$B,2,0),"-",VLOOKUP(E301,Sources!$A:$B,2,0),"-",VLOOKUP(F301,CommentaireValeurIndicateurs!$A:$B,2,0),"-",VLOOKUP(G301,NatureDonnees!$A:$B,2,0),"-",VLOOKUP(H301,Periodes!$A:$B,2,0))</f>
        <v>1261-1-6-4-12-3-1-30</v>
      </c>
      <c r="B301" s="2" t="s">
        <v>17</v>
      </c>
      <c r="C301" s="4" t="s">
        <v>136</v>
      </c>
      <c r="D301" t="s">
        <v>125</v>
      </c>
      <c r="E301" t="s">
        <v>86</v>
      </c>
      <c r="F301" s="4" t="s">
        <v>399</v>
      </c>
      <c r="G301" s="4" t="s">
        <v>400</v>
      </c>
      <c r="H301">
        <v>2029</v>
      </c>
      <c r="I301">
        <v>100</v>
      </c>
      <c r="K301" t="s">
        <v>77</v>
      </c>
    </row>
    <row r="302" spans="1:11" x14ac:dyDescent="0.25">
      <c r="A302" t="str">
        <f>_xlfn.CONCAT(VLOOKUP(B302,Indicateurs!$A:$B,2,0),"-",VLOOKUP(C302,Zones!$A:$B,2,0),"-",_xlfn.CONCAT(IF(K302&lt;&gt;"",VLOOKUP(K302,Desagregations!$A:$B,2,0),""),IF(L302&lt;&gt;"","_",""),IF(L302&lt;&gt;"",VLOOKUP(L302,Desagregations!$A:$B,2,0),""),IF(M302&lt;&gt;"","_",""),IF(M302&lt;&gt;"",VLOOKUP(M302,Desagregations!$A:$B,2,0),""),IF(N302&lt;&gt;"","_",""),IF(N302&lt;&gt;"",VLOOKUP(N302,Desagregations!$A:$B,2,0),""),IF(O302&lt;&gt;"","_",""),IF(O302&lt;&gt;"",VLOOKUP(O302,Desagregations!$A:$B,2,0),""),IF(P302&lt;&gt;"","_",""),IF(P302&lt;&gt;"",VLOOKUP(P302,Desagregations!$A:$B,2,0),"")),"-",VLOOKUP(D302,Unites!$A:$B,2,0),"-",VLOOKUP(E302,Sources!$A:$B,2,0),"-",VLOOKUP(F302,CommentaireValeurIndicateurs!$A:$B,2,0),"-",VLOOKUP(G302,NatureDonnees!$A:$B,2,0),"-",VLOOKUP(H302,Periodes!$A:$B,2,0))</f>
        <v>1262-1-6-4-13-3-1-30</v>
      </c>
      <c r="B302" s="3" t="s">
        <v>18</v>
      </c>
      <c r="C302" s="4" t="s">
        <v>136</v>
      </c>
      <c r="D302" t="s">
        <v>125</v>
      </c>
      <c r="E302" t="s">
        <v>87</v>
      </c>
      <c r="F302" s="4" t="s">
        <v>399</v>
      </c>
      <c r="G302" s="4" t="s">
        <v>400</v>
      </c>
      <c r="H302">
        <v>2029</v>
      </c>
      <c r="I302">
        <v>100</v>
      </c>
      <c r="K302" t="s">
        <v>77</v>
      </c>
    </row>
    <row r="303" spans="1:11" x14ac:dyDescent="0.25">
      <c r="A303" t="str">
        <f>_xlfn.CONCAT(VLOOKUP(B303,Indicateurs!$A:$B,2,0),"-",VLOOKUP(C303,Zones!$A:$B,2,0),"-",_xlfn.CONCAT(IF(K303&lt;&gt;"",VLOOKUP(K303,Desagregations!$A:$B,2,0),""),IF(L303&lt;&gt;"","_",""),IF(L303&lt;&gt;"",VLOOKUP(L303,Desagregations!$A:$B,2,0),""),IF(M303&lt;&gt;"","_",""),IF(M303&lt;&gt;"",VLOOKUP(M303,Desagregations!$A:$B,2,0),""),IF(N303&lt;&gt;"","_",""),IF(N303&lt;&gt;"",VLOOKUP(N303,Desagregations!$A:$B,2,0),""),IF(O303&lt;&gt;"","_",""),IF(O303&lt;&gt;"",VLOOKUP(O303,Desagregations!$A:$B,2,0),""),IF(P303&lt;&gt;"","_",""),IF(P303&lt;&gt;"",VLOOKUP(P303,Desagregations!$A:$B,2,0),"")),"-",VLOOKUP(D303,Unites!$A:$B,2,0),"-",VLOOKUP(E303,Sources!$A:$B,2,0),"-",VLOOKUP(F303,CommentaireValeurIndicateurs!$A:$B,2,0),"-",VLOOKUP(G303,NatureDonnees!$A:$B,2,0),"-",VLOOKUP(H303,Periodes!$A:$B,2,0))</f>
        <v>1263-1-6-4-10-3-1-30</v>
      </c>
      <c r="B303" s="2" t="s">
        <v>19</v>
      </c>
      <c r="C303" s="4" t="s">
        <v>136</v>
      </c>
      <c r="D303" t="s">
        <v>125</v>
      </c>
      <c r="E303" t="s">
        <v>84</v>
      </c>
      <c r="F303" s="4" t="s">
        <v>399</v>
      </c>
      <c r="G303" s="4" t="s">
        <v>400</v>
      </c>
      <c r="H303">
        <v>2029</v>
      </c>
      <c r="I303">
        <v>100</v>
      </c>
      <c r="K303" t="s">
        <v>77</v>
      </c>
    </row>
    <row r="304" spans="1:11" x14ac:dyDescent="0.25">
      <c r="A304" t="str">
        <f>_xlfn.CONCAT(VLOOKUP(B304,Indicateurs!$A:$B,2,0),"-",VLOOKUP(C304,Zones!$A:$B,2,0),"-",_xlfn.CONCAT(IF(K304&lt;&gt;"",VLOOKUP(K304,Desagregations!$A:$B,2,0),""),IF(L304&lt;&gt;"","_",""),IF(L304&lt;&gt;"",VLOOKUP(L304,Desagregations!$A:$B,2,0),""),IF(M304&lt;&gt;"","_",""),IF(M304&lt;&gt;"",VLOOKUP(M304,Desagregations!$A:$B,2,0),""),IF(N304&lt;&gt;"","_",""),IF(N304&lt;&gt;"",VLOOKUP(N304,Desagregations!$A:$B,2,0),""),IF(O304&lt;&gt;"","_",""),IF(O304&lt;&gt;"",VLOOKUP(O304,Desagregations!$A:$B,2,0),""),IF(P304&lt;&gt;"","_",""),IF(P304&lt;&gt;"",VLOOKUP(P304,Desagregations!$A:$B,2,0),"")),"-",VLOOKUP(D304,Unites!$A:$B,2,0),"-",VLOOKUP(E304,Sources!$A:$B,2,0),"-",VLOOKUP(F304,CommentaireValeurIndicateurs!$A:$B,2,0),"-",VLOOKUP(G304,NatureDonnees!$A:$B,2,0),"-",VLOOKUP(H304,Periodes!$A:$B,2,0))</f>
        <v>1264-1-6-4-10-3-1-30</v>
      </c>
      <c r="B304" s="2" t="s">
        <v>20</v>
      </c>
      <c r="C304" s="4" t="s">
        <v>136</v>
      </c>
      <c r="D304" t="s">
        <v>125</v>
      </c>
      <c r="E304" t="s">
        <v>84</v>
      </c>
      <c r="F304" s="4" t="s">
        <v>399</v>
      </c>
      <c r="G304" s="4" t="s">
        <v>400</v>
      </c>
      <c r="H304">
        <v>2029</v>
      </c>
      <c r="I304">
        <v>50</v>
      </c>
      <c r="K304" t="s">
        <v>77</v>
      </c>
    </row>
    <row r="305" spans="1:11" x14ac:dyDescent="0.25">
      <c r="A305" t="str">
        <f>_xlfn.CONCAT(VLOOKUP(B305,Indicateurs!$A:$B,2,0),"-",VLOOKUP(C305,Zones!$A:$B,2,0),"-",_xlfn.CONCAT(IF(K305&lt;&gt;"",VLOOKUP(K305,Desagregations!$A:$B,2,0),""),IF(L305&lt;&gt;"","_",""),IF(L305&lt;&gt;"",VLOOKUP(L305,Desagregations!$A:$B,2,0),""),IF(M305&lt;&gt;"","_",""),IF(M305&lt;&gt;"",VLOOKUP(M305,Desagregations!$A:$B,2,0),""),IF(N305&lt;&gt;"","_",""),IF(N305&lt;&gt;"",VLOOKUP(N305,Desagregations!$A:$B,2,0),""),IF(O305&lt;&gt;"","_",""),IF(O305&lt;&gt;"",VLOOKUP(O305,Desagregations!$A:$B,2,0),""),IF(P305&lt;&gt;"","_",""),IF(P305&lt;&gt;"",VLOOKUP(P305,Desagregations!$A:$B,2,0),"")),"-",VLOOKUP(D305,Unites!$A:$B,2,0),"-",VLOOKUP(E305,Sources!$A:$B,2,0),"-",VLOOKUP(F305,CommentaireValeurIndicateurs!$A:$B,2,0),"-",VLOOKUP(G305,NatureDonnees!$A:$B,2,0),"-",VLOOKUP(H305,Periodes!$A:$B,2,0))</f>
        <v>1265-1-6-4-14-3-1-30</v>
      </c>
      <c r="B305" s="2" t="s">
        <v>21</v>
      </c>
      <c r="C305" s="4" t="s">
        <v>136</v>
      </c>
      <c r="D305" t="s">
        <v>125</v>
      </c>
      <c r="E305" t="s">
        <v>88</v>
      </c>
      <c r="F305" s="4" t="s">
        <v>399</v>
      </c>
      <c r="G305" s="4" t="s">
        <v>400</v>
      </c>
      <c r="H305">
        <v>2029</v>
      </c>
      <c r="I305">
        <v>100</v>
      </c>
      <c r="K305" t="s">
        <v>77</v>
      </c>
    </row>
    <row r="306" spans="1:11" x14ac:dyDescent="0.25">
      <c r="A306" t="str">
        <f>_xlfn.CONCAT(VLOOKUP(B306,Indicateurs!$A:$B,2,0),"-",VLOOKUP(C306,Zones!$A:$B,2,0),"-",_xlfn.CONCAT(IF(K306&lt;&gt;"",VLOOKUP(K306,Desagregations!$A:$B,2,0),""),IF(L306&lt;&gt;"","_",""),IF(L306&lt;&gt;"",VLOOKUP(L306,Desagregations!$A:$B,2,0),""),IF(M306&lt;&gt;"","_",""),IF(M306&lt;&gt;"",VLOOKUP(M306,Desagregations!$A:$B,2,0),""),IF(N306&lt;&gt;"","_",""),IF(N306&lt;&gt;"",VLOOKUP(N306,Desagregations!$A:$B,2,0),""),IF(O306&lt;&gt;"","_",""),IF(O306&lt;&gt;"",VLOOKUP(O306,Desagregations!$A:$B,2,0),""),IF(P306&lt;&gt;"","_",""),IF(P306&lt;&gt;"",VLOOKUP(P306,Desagregations!$A:$B,2,0),"")),"-",VLOOKUP(D306,Unites!$A:$B,2,0),"-",VLOOKUP(E306,Sources!$A:$B,2,0),"-",VLOOKUP(F306,CommentaireValeurIndicateurs!$A:$B,2,0),"-",VLOOKUP(G306,NatureDonnees!$A:$B,2,0),"-",VLOOKUP(H306,Periodes!$A:$B,2,0))</f>
        <v>1266-1-6-8-15-3-1-30</v>
      </c>
      <c r="B306" s="3" t="s">
        <v>22</v>
      </c>
      <c r="C306" s="4" t="s">
        <v>136</v>
      </c>
      <c r="D306" t="s">
        <v>129</v>
      </c>
      <c r="E306" t="s">
        <v>89</v>
      </c>
      <c r="F306" s="4" t="s">
        <v>399</v>
      </c>
      <c r="G306" s="4" t="s">
        <v>400</v>
      </c>
      <c r="H306">
        <v>2029</v>
      </c>
      <c r="I306">
        <v>110</v>
      </c>
      <c r="K306" t="s">
        <v>77</v>
      </c>
    </row>
    <row r="307" spans="1:11" x14ac:dyDescent="0.25">
      <c r="A307" t="str">
        <f>_xlfn.CONCAT(VLOOKUP(B307,Indicateurs!$A:$B,2,0),"-",VLOOKUP(C307,Zones!$A:$B,2,0),"-",_xlfn.CONCAT(IF(K307&lt;&gt;"",VLOOKUP(K307,Desagregations!$A:$B,2,0),""),IF(L307&lt;&gt;"","_",""),IF(L307&lt;&gt;"",VLOOKUP(L307,Desagregations!$A:$B,2,0),""),IF(M307&lt;&gt;"","_",""),IF(M307&lt;&gt;"",VLOOKUP(M307,Desagregations!$A:$B,2,0),""),IF(N307&lt;&gt;"","_",""),IF(N307&lt;&gt;"",VLOOKUP(N307,Desagregations!$A:$B,2,0),""),IF(O307&lt;&gt;"","_",""),IF(O307&lt;&gt;"",VLOOKUP(O307,Desagregations!$A:$B,2,0),""),IF(P307&lt;&gt;"","_",""),IF(P307&lt;&gt;"",VLOOKUP(P307,Desagregations!$A:$B,2,0),"")),"-",VLOOKUP(D307,Unites!$A:$B,2,0),"-",VLOOKUP(E307,Sources!$A:$B,2,0),"-",VLOOKUP(F307,CommentaireValeurIndicateurs!$A:$B,2,0),"-",VLOOKUP(G307,NatureDonnees!$A:$B,2,0),"-",VLOOKUP(H307,Periodes!$A:$B,2,0))</f>
        <v>1267-1-6-4-16-3-1-30</v>
      </c>
      <c r="B307" s="2" t="s">
        <v>23</v>
      </c>
      <c r="C307" s="4" t="s">
        <v>136</v>
      </c>
      <c r="D307" t="s">
        <v>125</v>
      </c>
      <c r="E307" t="s">
        <v>90</v>
      </c>
      <c r="F307" s="4" t="s">
        <v>399</v>
      </c>
      <c r="G307" s="4" t="s">
        <v>400</v>
      </c>
      <c r="H307">
        <v>2029</v>
      </c>
      <c r="I307">
        <v>6</v>
      </c>
      <c r="K307" t="s">
        <v>77</v>
      </c>
    </row>
    <row r="308" spans="1:11" x14ac:dyDescent="0.25">
      <c r="A308" t="str">
        <f>_xlfn.CONCAT(VLOOKUP(B308,Indicateurs!$A:$B,2,0),"-",VLOOKUP(C308,Zones!$A:$B,2,0),"-",_xlfn.CONCAT(IF(K308&lt;&gt;"",VLOOKUP(K308,Desagregations!$A:$B,2,0),""),IF(L308&lt;&gt;"","_",""),IF(L308&lt;&gt;"",VLOOKUP(L308,Desagregations!$A:$B,2,0),""),IF(M308&lt;&gt;"","_",""),IF(M308&lt;&gt;"",VLOOKUP(M308,Desagregations!$A:$B,2,0),""),IF(N308&lt;&gt;"","_",""),IF(N308&lt;&gt;"",VLOOKUP(N308,Desagregations!$A:$B,2,0),""),IF(O308&lt;&gt;"","_",""),IF(O308&lt;&gt;"",VLOOKUP(O308,Desagregations!$A:$B,2,0),""),IF(P308&lt;&gt;"","_",""),IF(P308&lt;&gt;"",VLOOKUP(P308,Desagregations!$A:$B,2,0),"")),"-",VLOOKUP(D308,Unites!$A:$B,2,0),"-",VLOOKUP(E308,Sources!$A:$B,2,0),"-",VLOOKUP(F308,CommentaireValeurIndicateurs!$A:$B,2,0),"-",VLOOKUP(G308,NatureDonnees!$A:$B,2,0),"-",VLOOKUP(H308,Periodes!$A:$B,2,0))</f>
        <v>1268-1-6-9-4-3-1-30</v>
      </c>
      <c r="B308" s="2" t="s">
        <v>24</v>
      </c>
      <c r="C308" s="4" t="s">
        <v>136</v>
      </c>
      <c r="D308" t="s">
        <v>130</v>
      </c>
      <c r="E308" t="s">
        <v>78</v>
      </c>
      <c r="F308" s="4" t="s">
        <v>399</v>
      </c>
      <c r="G308" s="4" t="s">
        <v>400</v>
      </c>
      <c r="H308">
        <v>2029</v>
      </c>
      <c r="I308">
        <v>0.28299999999999997</v>
      </c>
      <c r="K308" t="s">
        <v>77</v>
      </c>
    </row>
    <row r="309" spans="1:11" x14ac:dyDescent="0.25">
      <c r="A309" t="str">
        <f>_xlfn.CONCAT(VLOOKUP(B309,Indicateurs!$A:$B,2,0),"-",VLOOKUP(C309,Zones!$A:$B,2,0),"-",_xlfn.CONCAT(IF(K309&lt;&gt;"",VLOOKUP(K309,Desagregations!$A:$B,2,0),""),IF(L309&lt;&gt;"","_",""),IF(L309&lt;&gt;"",VLOOKUP(L309,Desagregations!$A:$B,2,0),""),IF(M309&lt;&gt;"","_",""),IF(M309&lt;&gt;"",VLOOKUP(M309,Desagregations!$A:$B,2,0),""),IF(N309&lt;&gt;"","_",""),IF(N309&lt;&gt;"",VLOOKUP(N309,Desagregations!$A:$B,2,0),""),IF(O309&lt;&gt;"","_",""),IF(O309&lt;&gt;"",VLOOKUP(O309,Desagregations!$A:$B,2,0),""),IF(P309&lt;&gt;"","_",""),IF(P309&lt;&gt;"",VLOOKUP(P309,Desagregations!$A:$B,2,0),"")),"-",VLOOKUP(D309,Unites!$A:$B,2,0),"-",VLOOKUP(E309,Sources!$A:$B,2,0),"-",VLOOKUP(F309,CommentaireValeurIndicateurs!$A:$B,2,0),"-",VLOOKUP(G309,NatureDonnees!$A:$B,2,0),"-",VLOOKUP(H309,Periodes!$A:$B,2,0))</f>
        <v>1269-1-6-4-17-3-1-30</v>
      </c>
      <c r="B309" s="2" t="s">
        <v>25</v>
      </c>
      <c r="C309" s="4" t="s">
        <v>136</v>
      </c>
      <c r="D309" t="s">
        <v>125</v>
      </c>
      <c r="E309" t="s">
        <v>91</v>
      </c>
      <c r="F309" s="4" t="s">
        <v>399</v>
      </c>
      <c r="G309" s="4" t="s">
        <v>400</v>
      </c>
      <c r="H309">
        <v>2029</v>
      </c>
      <c r="I309">
        <v>96</v>
      </c>
      <c r="K309" t="s">
        <v>77</v>
      </c>
    </row>
    <row r="310" spans="1:11" x14ac:dyDescent="0.25">
      <c r="A310" t="str">
        <f>_xlfn.CONCAT(VLOOKUP(B310,Indicateurs!$A:$B,2,0),"-",VLOOKUP(C310,Zones!$A:$B,2,0),"-",_xlfn.CONCAT(IF(K310&lt;&gt;"",VLOOKUP(K310,Desagregations!$A:$B,2,0),""),IF(L310&lt;&gt;"","_",""),IF(L310&lt;&gt;"",VLOOKUP(L310,Desagregations!$A:$B,2,0),""),IF(M310&lt;&gt;"","_",""),IF(M310&lt;&gt;"",VLOOKUP(M310,Desagregations!$A:$B,2,0),""),IF(N310&lt;&gt;"","_",""),IF(N310&lt;&gt;"",VLOOKUP(N310,Desagregations!$A:$B,2,0),""),IF(O310&lt;&gt;"","_",""),IF(O310&lt;&gt;"",VLOOKUP(O310,Desagregations!$A:$B,2,0),""),IF(P310&lt;&gt;"","_",""),IF(P310&lt;&gt;"",VLOOKUP(P310,Desagregations!$A:$B,2,0),"")),"-",VLOOKUP(D310,Unites!$A:$B,2,0),"-",VLOOKUP(E310,Sources!$A:$B,2,0),"-",VLOOKUP(F310,CommentaireValeurIndicateurs!$A:$B,2,0),"-",VLOOKUP(G310,NatureDonnees!$A:$B,2,0),"-",VLOOKUP(H310,Periodes!$A:$B,2,0))</f>
        <v>1270-1-6-4-18-3-1-30</v>
      </c>
      <c r="B310" s="2" t="s">
        <v>26</v>
      </c>
      <c r="C310" s="4" t="s">
        <v>136</v>
      </c>
      <c r="D310" t="s">
        <v>125</v>
      </c>
      <c r="E310" t="s">
        <v>92</v>
      </c>
      <c r="F310" s="4" t="s">
        <v>399</v>
      </c>
      <c r="G310" s="4" t="s">
        <v>400</v>
      </c>
      <c r="H310">
        <v>2029</v>
      </c>
      <c r="I310">
        <v>95</v>
      </c>
      <c r="K310" t="s">
        <v>77</v>
      </c>
    </row>
    <row r="311" spans="1:11" x14ac:dyDescent="0.25">
      <c r="A311" t="str">
        <f>_xlfn.CONCAT(VLOOKUP(B311,Indicateurs!$A:$B,2,0),"-",VLOOKUP(C311,Zones!$A:$B,2,0),"-",_xlfn.CONCAT(IF(K311&lt;&gt;"",VLOOKUP(K311,Desagregations!$A:$B,2,0),""),IF(L311&lt;&gt;"","_",""),IF(L311&lt;&gt;"",VLOOKUP(L311,Desagregations!$A:$B,2,0),""),IF(M311&lt;&gt;"","_",""),IF(M311&lt;&gt;"",VLOOKUP(M311,Desagregations!$A:$B,2,0),""),IF(N311&lt;&gt;"","_",""),IF(N311&lt;&gt;"",VLOOKUP(N311,Desagregations!$A:$B,2,0),""),IF(O311&lt;&gt;"","_",""),IF(O311&lt;&gt;"",VLOOKUP(O311,Desagregations!$A:$B,2,0),""),IF(P311&lt;&gt;"","_",""),IF(P311&lt;&gt;"",VLOOKUP(P311,Desagregations!$A:$B,2,0),"")),"-",VLOOKUP(D311,Unites!$A:$B,2,0),"-",VLOOKUP(E311,Sources!$A:$B,2,0),"-",VLOOKUP(F311,CommentaireValeurIndicateurs!$A:$B,2,0),"-",VLOOKUP(G311,NatureDonnees!$A:$B,2,0),"-",VLOOKUP(H311,Periodes!$A:$B,2,0))</f>
        <v>1271-1-6-4-19-3-1-30</v>
      </c>
      <c r="B311" s="3" t="s">
        <v>27</v>
      </c>
      <c r="C311" s="4" t="s">
        <v>136</v>
      </c>
      <c r="D311" t="s">
        <v>125</v>
      </c>
      <c r="E311" t="s">
        <v>93</v>
      </c>
      <c r="F311" s="4" t="s">
        <v>399</v>
      </c>
      <c r="G311" s="4" t="s">
        <v>400</v>
      </c>
      <c r="H311">
        <v>2029</v>
      </c>
      <c r="I311">
        <v>9.8000000000000007</v>
      </c>
      <c r="K311" t="s">
        <v>77</v>
      </c>
    </row>
    <row r="312" spans="1:11" x14ac:dyDescent="0.25">
      <c r="A312" t="e">
        <f>_xlfn.CONCAT(VLOOKUP(B312,Indicateurs!$A:$B,2,0),"-",VLOOKUP(C312,Zones!$A:$B,2,0),"-",_xlfn.CONCAT(IF(K312&lt;&gt;"",VLOOKUP(K312,Desagregations!$A:$B,2,0),""),IF(L312&lt;&gt;"","_",""),IF(L312&lt;&gt;"",VLOOKUP(L312,Desagregations!$A:$B,2,0),""),IF(M312&lt;&gt;"","_",""),IF(M312&lt;&gt;"",VLOOKUP(M312,Desagregations!$A:$B,2,0),""),IF(N312&lt;&gt;"","_",""),IF(N312&lt;&gt;"",VLOOKUP(N312,Desagregations!$A:$B,2,0),""),IF(O312&lt;&gt;"","_",""),IF(O312&lt;&gt;"",VLOOKUP(O312,Desagregations!$A:$B,2,0),""),IF(P312&lt;&gt;"","_",""),IF(P312&lt;&gt;"",VLOOKUP(P312,Desagregations!$A:$B,2,0),"")),"-",VLOOKUP(D312,Unites!$A:$B,2,0),"-",VLOOKUP(E312,Sources!$A:$B,2,0),"-",VLOOKUP(F312,CommentaireValeurIndicateurs!$A:$B,2,0),"-",VLOOKUP(G312,NatureDonnees!$A:$B,2,0),"-",VLOOKUP(H312,Periodes!$A:$B,2,0))</f>
        <v>#N/A</v>
      </c>
      <c r="B312" s="5" t="s">
        <v>28</v>
      </c>
      <c r="C312" s="4" t="s">
        <v>136</v>
      </c>
      <c r="D312" t="s">
        <v>125</v>
      </c>
      <c r="E312" s="4" t="s">
        <v>94</v>
      </c>
      <c r="F312" s="4" t="s">
        <v>399</v>
      </c>
      <c r="G312" s="4" t="s">
        <v>400</v>
      </c>
      <c r="K312" t="s">
        <v>77</v>
      </c>
    </row>
    <row r="313" spans="1:11" x14ac:dyDescent="0.25">
      <c r="A313" t="str">
        <f>_xlfn.CONCAT(VLOOKUP(B313,Indicateurs!$A:$B,2,0),"-",VLOOKUP(C313,Zones!$A:$B,2,0),"-",_xlfn.CONCAT(IF(K313&lt;&gt;"",VLOOKUP(K313,Desagregations!$A:$B,2,0),""),IF(L313&lt;&gt;"","_",""),IF(L313&lt;&gt;"",VLOOKUP(L313,Desagregations!$A:$B,2,0),""),IF(M313&lt;&gt;"","_",""),IF(M313&lt;&gt;"",VLOOKUP(M313,Desagregations!$A:$B,2,0),""),IF(N313&lt;&gt;"","_",""),IF(N313&lt;&gt;"",VLOOKUP(N313,Desagregations!$A:$B,2,0),""),IF(O313&lt;&gt;"","_",""),IF(O313&lt;&gt;"",VLOOKUP(O313,Desagregations!$A:$B,2,0),""),IF(P313&lt;&gt;"","_",""),IF(P313&lt;&gt;"",VLOOKUP(P313,Desagregations!$A:$B,2,0),"")),"-",VLOOKUP(D313,Unites!$A:$B,2,0),"-",VLOOKUP(E313,Sources!$A:$B,2,0),"-",VLOOKUP(F313,CommentaireValeurIndicateurs!$A:$B,2,0),"-",VLOOKUP(G313,NatureDonnees!$A:$B,2,0),"-",VLOOKUP(H313,Periodes!$A:$B,2,0))</f>
        <v>1273-1-6-4-21-3-1-30</v>
      </c>
      <c r="B313" s="2" t="s">
        <v>29</v>
      </c>
      <c r="C313" s="4" t="s">
        <v>136</v>
      </c>
      <c r="D313" t="s">
        <v>125</v>
      </c>
      <c r="E313" t="s">
        <v>95</v>
      </c>
      <c r="F313" s="4" t="s">
        <v>399</v>
      </c>
      <c r="G313" s="4" t="s">
        <v>400</v>
      </c>
      <c r="H313">
        <v>2029</v>
      </c>
      <c r="I313">
        <v>6.8</v>
      </c>
      <c r="K313" t="s">
        <v>77</v>
      </c>
    </row>
    <row r="314" spans="1:11" x14ac:dyDescent="0.25">
      <c r="A314" t="str">
        <f>_xlfn.CONCAT(VLOOKUP(B314,Indicateurs!$A:$B,2,0),"-",VLOOKUP(C314,Zones!$A:$B,2,0),"-",_xlfn.CONCAT(IF(K314&lt;&gt;"",VLOOKUP(K314,Desagregations!$A:$B,2,0),""),IF(L314&lt;&gt;"","_",""),IF(L314&lt;&gt;"",VLOOKUP(L314,Desagregations!$A:$B,2,0),""),IF(M314&lt;&gt;"","_",""),IF(M314&lt;&gt;"",VLOOKUP(M314,Desagregations!$A:$B,2,0),""),IF(N314&lt;&gt;"","_",""),IF(N314&lt;&gt;"",VLOOKUP(N314,Desagregations!$A:$B,2,0),""),IF(O314&lt;&gt;"","_",""),IF(O314&lt;&gt;"",VLOOKUP(O314,Desagregations!$A:$B,2,0),""),IF(P314&lt;&gt;"","_",""),IF(P314&lt;&gt;"",VLOOKUP(P314,Desagregations!$A:$B,2,0),"")),"-",VLOOKUP(D314,Unites!$A:$B,2,0),"-",VLOOKUP(E314,Sources!$A:$B,2,0),"-",VLOOKUP(F314,CommentaireValeurIndicateurs!$A:$B,2,0),"-",VLOOKUP(G314,NatureDonnees!$A:$B,2,0),"-",VLOOKUP(H314,Periodes!$A:$B,2,0))</f>
        <v>1274-1-6-4-16-3-1-30</v>
      </c>
      <c r="B314" s="2" t="s">
        <v>30</v>
      </c>
      <c r="C314" s="4" t="s">
        <v>136</v>
      </c>
      <c r="D314" t="s">
        <v>125</v>
      </c>
      <c r="E314" t="s">
        <v>90</v>
      </c>
      <c r="F314" s="4" t="s">
        <v>399</v>
      </c>
      <c r="G314" s="4" t="s">
        <v>400</v>
      </c>
      <c r="H314">
        <v>2029</v>
      </c>
      <c r="I314">
        <v>30.84</v>
      </c>
      <c r="K314" t="s">
        <v>77</v>
      </c>
    </row>
    <row r="315" spans="1:11" x14ac:dyDescent="0.25">
      <c r="A315" t="str">
        <f>_xlfn.CONCAT(VLOOKUP(B315,Indicateurs!$A:$B,2,0),"-",VLOOKUP(C315,Zones!$A:$B,2,0),"-",_xlfn.CONCAT(IF(K315&lt;&gt;"",VLOOKUP(K315,Desagregations!$A:$B,2,0),""),IF(L315&lt;&gt;"","_",""),IF(L315&lt;&gt;"",VLOOKUP(L315,Desagregations!$A:$B,2,0),""),IF(M315&lt;&gt;"","_",""),IF(M315&lt;&gt;"",VLOOKUP(M315,Desagregations!$A:$B,2,0),""),IF(N315&lt;&gt;"","_",""),IF(N315&lt;&gt;"",VLOOKUP(N315,Desagregations!$A:$B,2,0),""),IF(O315&lt;&gt;"","_",""),IF(O315&lt;&gt;"",VLOOKUP(O315,Desagregations!$A:$B,2,0),""),IF(P315&lt;&gt;"","_",""),IF(P315&lt;&gt;"",VLOOKUP(P315,Desagregations!$A:$B,2,0),"")),"-",VLOOKUP(D315,Unites!$A:$B,2,0),"-",VLOOKUP(E315,Sources!$A:$B,2,0),"-",VLOOKUP(F315,CommentaireValeurIndicateurs!$A:$B,2,0),"-",VLOOKUP(G315,NatureDonnees!$A:$B,2,0),"-",VLOOKUP(H315,Periodes!$A:$B,2,0))</f>
        <v>1275-1-6-4-22-3-1-30</v>
      </c>
      <c r="B315" s="2" t="s">
        <v>31</v>
      </c>
      <c r="C315" s="4" t="s">
        <v>136</v>
      </c>
      <c r="D315" t="s">
        <v>125</v>
      </c>
      <c r="E315" t="s">
        <v>96</v>
      </c>
      <c r="F315" s="4" t="s">
        <v>399</v>
      </c>
      <c r="G315" s="4" t="s">
        <v>400</v>
      </c>
      <c r="H315">
        <v>2029</v>
      </c>
      <c r="I315">
        <v>56</v>
      </c>
      <c r="K315" t="s">
        <v>77</v>
      </c>
    </row>
    <row r="316" spans="1:11" x14ac:dyDescent="0.25">
      <c r="A316" t="str">
        <f>_xlfn.CONCAT(VLOOKUP(B316,Indicateurs!$A:$B,2,0),"-",VLOOKUP(C316,Zones!$A:$B,2,0),"-",_xlfn.CONCAT(IF(K316&lt;&gt;"",VLOOKUP(K316,Desagregations!$A:$B,2,0),""),IF(L316&lt;&gt;"","_",""),IF(L316&lt;&gt;"",VLOOKUP(L316,Desagregations!$A:$B,2,0),""),IF(M316&lt;&gt;"","_",""),IF(M316&lt;&gt;"",VLOOKUP(M316,Desagregations!$A:$B,2,0),""),IF(N316&lt;&gt;"","_",""),IF(N316&lt;&gt;"",VLOOKUP(N316,Desagregations!$A:$B,2,0),""),IF(O316&lt;&gt;"","_",""),IF(O316&lt;&gt;"",VLOOKUP(O316,Desagregations!$A:$B,2,0),""),IF(P316&lt;&gt;"","_",""),IF(P316&lt;&gt;"",VLOOKUP(P316,Desagregations!$A:$B,2,0),"")),"-",VLOOKUP(D316,Unites!$A:$B,2,0),"-",VLOOKUP(E316,Sources!$A:$B,2,0),"-",VLOOKUP(F316,CommentaireValeurIndicateurs!$A:$B,2,0),"-",VLOOKUP(G316,NatureDonnees!$A:$B,2,0),"-",VLOOKUP(H316,Periodes!$A:$B,2,0))</f>
        <v>1276-1-6-4-22-3-1-30</v>
      </c>
      <c r="B316" s="3" t="s">
        <v>32</v>
      </c>
      <c r="C316" s="4" t="s">
        <v>136</v>
      </c>
      <c r="D316" t="s">
        <v>125</v>
      </c>
      <c r="E316" t="s">
        <v>96</v>
      </c>
      <c r="F316" s="4" t="s">
        <v>399</v>
      </c>
      <c r="G316" s="4" t="s">
        <v>400</v>
      </c>
      <c r="H316">
        <v>2029</v>
      </c>
      <c r="I316">
        <v>16</v>
      </c>
      <c r="K316" t="s">
        <v>77</v>
      </c>
    </row>
    <row r="317" spans="1:11" x14ac:dyDescent="0.25">
      <c r="A317" t="str">
        <f>_xlfn.CONCAT(VLOOKUP(B317,Indicateurs!$A:$B,2,0),"-",VLOOKUP(C317,Zones!$A:$B,2,0),"-",_xlfn.CONCAT(IF(K317&lt;&gt;"",VLOOKUP(K317,Desagregations!$A:$B,2,0),""),IF(L317&lt;&gt;"","_",""),IF(L317&lt;&gt;"",VLOOKUP(L317,Desagregations!$A:$B,2,0),""),IF(M317&lt;&gt;"","_",""),IF(M317&lt;&gt;"",VLOOKUP(M317,Desagregations!$A:$B,2,0),""),IF(N317&lt;&gt;"","_",""),IF(N317&lt;&gt;"",VLOOKUP(N317,Desagregations!$A:$B,2,0),""),IF(O317&lt;&gt;"","_",""),IF(O317&lt;&gt;"",VLOOKUP(O317,Desagregations!$A:$B,2,0),""),IF(P317&lt;&gt;"","_",""),IF(P317&lt;&gt;"",VLOOKUP(P317,Desagregations!$A:$B,2,0),"")),"-",VLOOKUP(D317,Unites!$A:$B,2,0),"-",VLOOKUP(E317,Sources!$A:$B,2,0),"-",VLOOKUP(F317,CommentaireValeurIndicateurs!$A:$B,2,0),"-",VLOOKUP(G317,NatureDonnees!$A:$B,2,0),"-",VLOOKUP(H317,Periodes!$A:$B,2,0))</f>
        <v>1277-1-6-4-22-3-1-30</v>
      </c>
      <c r="B317" s="3" t="s">
        <v>33</v>
      </c>
      <c r="C317" s="4" t="s">
        <v>136</v>
      </c>
      <c r="D317" t="s">
        <v>125</v>
      </c>
      <c r="E317" t="s">
        <v>96</v>
      </c>
      <c r="F317" s="4" t="s">
        <v>399</v>
      </c>
      <c r="G317" s="4" t="s">
        <v>400</v>
      </c>
      <c r="H317">
        <v>2029</v>
      </c>
      <c r="I317">
        <v>5</v>
      </c>
      <c r="K317" t="s">
        <v>77</v>
      </c>
    </row>
    <row r="318" spans="1:11" x14ac:dyDescent="0.25">
      <c r="A318" t="str">
        <f>_xlfn.CONCAT(VLOOKUP(B318,Indicateurs!$A:$B,2,0),"-",VLOOKUP(C318,Zones!$A:$B,2,0),"-",_xlfn.CONCAT(IF(K318&lt;&gt;"",VLOOKUP(K318,Desagregations!$A:$B,2,0),""),IF(L318&lt;&gt;"","_",""),IF(L318&lt;&gt;"",VLOOKUP(L318,Desagregations!$A:$B,2,0),""),IF(M318&lt;&gt;"","_",""),IF(M318&lt;&gt;"",VLOOKUP(M318,Desagregations!$A:$B,2,0),""),IF(N318&lt;&gt;"","_",""),IF(N318&lt;&gt;"",VLOOKUP(N318,Desagregations!$A:$B,2,0),""),IF(O318&lt;&gt;"","_",""),IF(O318&lt;&gt;"",VLOOKUP(O318,Desagregations!$A:$B,2,0),""),IF(P318&lt;&gt;"","_",""),IF(P318&lt;&gt;"",VLOOKUP(P318,Desagregations!$A:$B,2,0),"")),"-",VLOOKUP(D318,Unites!$A:$B,2,0),"-",VLOOKUP(E318,Sources!$A:$B,2,0),"-",VLOOKUP(F318,CommentaireValeurIndicateurs!$A:$B,2,0),"-",VLOOKUP(G318,NatureDonnees!$A:$B,2,0),"-",VLOOKUP(H318,Periodes!$A:$B,2,0))</f>
        <v>1278-1-6-4-16-3-1-30</v>
      </c>
      <c r="B318" s="2" t="s">
        <v>34</v>
      </c>
      <c r="C318" s="4" t="s">
        <v>136</v>
      </c>
      <c r="D318" t="s">
        <v>125</v>
      </c>
      <c r="E318" t="s">
        <v>90</v>
      </c>
      <c r="F318" s="4" t="s">
        <v>399</v>
      </c>
      <c r="G318" s="4" t="s">
        <v>400</v>
      </c>
      <c r="H318">
        <v>2029</v>
      </c>
      <c r="I318">
        <v>6.6</v>
      </c>
      <c r="K318" t="s">
        <v>77</v>
      </c>
    </row>
    <row r="319" spans="1:11" x14ac:dyDescent="0.25">
      <c r="A319" t="str">
        <f>_xlfn.CONCAT(VLOOKUP(B319,Indicateurs!$A:$B,2,0),"-",VLOOKUP(C319,Zones!$A:$B,2,0),"-",_xlfn.CONCAT(IF(K319&lt;&gt;"",VLOOKUP(K319,Desagregations!$A:$B,2,0),""),IF(L319&lt;&gt;"","_",""),IF(L319&lt;&gt;"",VLOOKUP(L319,Desagregations!$A:$B,2,0),""),IF(M319&lt;&gt;"","_",""),IF(M319&lt;&gt;"",VLOOKUP(M319,Desagregations!$A:$B,2,0),""),IF(N319&lt;&gt;"","_",""),IF(N319&lt;&gt;"",VLOOKUP(N319,Desagregations!$A:$B,2,0),""),IF(O319&lt;&gt;"","_",""),IF(O319&lt;&gt;"",VLOOKUP(O319,Desagregations!$A:$B,2,0),""),IF(P319&lt;&gt;"","_",""),IF(P319&lt;&gt;"",VLOOKUP(P319,Desagregations!$A:$B,2,0),"")),"-",VLOOKUP(D319,Unites!$A:$B,2,0),"-",VLOOKUP(E319,Sources!$A:$B,2,0),"-",VLOOKUP(F319,CommentaireValeurIndicateurs!$A:$B,2,0),"-",VLOOKUP(G319,NatureDonnees!$A:$B,2,0),"-",VLOOKUP(H319,Periodes!$A:$B,2,0))</f>
        <v>1279-1-6-4-23-3-1-30</v>
      </c>
      <c r="B319" s="2" t="s">
        <v>35</v>
      </c>
      <c r="C319" s="4" t="s">
        <v>136</v>
      </c>
      <c r="D319" t="s">
        <v>125</v>
      </c>
      <c r="E319" t="s">
        <v>97</v>
      </c>
      <c r="F319" s="4" t="s">
        <v>399</v>
      </c>
      <c r="G319" s="4" t="s">
        <v>400</v>
      </c>
      <c r="H319">
        <v>2029</v>
      </c>
      <c r="I319">
        <v>44.5</v>
      </c>
      <c r="K319" t="s">
        <v>77</v>
      </c>
    </row>
    <row r="320" spans="1:11" x14ac:dyDescent="0.25">
      <c r="A320" t="str">
        <f>_xlfn.CONCAT(VLOOKUP(B320,Indicateurs!$A:$B,2,0),"-",VLOOKUP(C320,Zones!$A:$B,2,0),"-",_xlfn.CONCAT(IF(K320&lt;&gt;"",VLOOKUP(K320,Desagregations!$A:$B,2,0),""),IF(L320&lt;&gt;"","_",""),IF(L320&lt;&gt;"",VLOOKUP(L320,Desagregations!$A:$B,2,0),""),IF(M320&lt;&gt;"","_",""),IF(M320&lt;&gt;"",VLOOKUP(M320,Desagregations!$A:$B,2,0),""),IF(N320&lt;&gt;"","_",""),IF(N320&lt;&gt;"",VLOOKUP(N320,Desagregations!$A:$B,2,0),""),IF(O320&lt;&gt;"","_",""),IF(O320&lt;&gt;"",VLOOKUP(O320,Desagregations!$A:$B,2,0),""),IF(P320&lt;&gt;"","_",""),IF(P320&lt;&gt;"",VLOOKUP(P320,Desagregations!$A:$B,2,0),"")),"-",VLOOKUP(D320,Unites!$A:$B,2,0),"-",VLOOKUP(E320,Sources!$A:$B,2,0),"-",VLOOKUP(F320,CommentaireValeurIndicateurs!$A:$B,2,0),"-",VLOOKUP(G320,NatureDonnees!$A:$B,2,0),"-",VLOOKUP(H320,Periodes!$A:$B,2,0))</f>
        <v>1280-1-6-4-24-3-1-30</v>
      </c>
      <c r="B320" s="2" t="s">
        <v>36</v>
      </c>
      <c r="C320" s="4" t="s">
        <v>136</v>
      </c>
      <c r="D320" t="s">
        <v>125</v>
      </c>
      <c r="E320" t="s">
        <v>98</v>
      </c>
      <c r="F320" s="4" t="s">
        <v>399</v>
      </c>
      <c r="G320" s="4" t="s">
        <v>400</v>
      </c>
      <c r="H320">
        <v>2029</v>
      </c>
      <c r="I320">
        <v>21.5</v>
      </c>
      <c r="K320" t="s">
        <v>77</v>
      </c>
    </row>
    <row r="321" spans="1:11" x14ac:dyDescent="0.25">
      <c r="A321" t="str">
        <f>_xlfn.CONCAT(VLOOKUP(B321,Indicateurs!$A:$B,2,0),"-",VLOOKUP(C321,Zones!$A:$B,2,0),"-",_xlfn.CONCAT(IF(K321&lt;&gt;"",VLOOKUP(K321,Desagregations!$A:$B,2,0),""),IF(L321&lt;&gt;"","_",""),IF(L321&lt;&gt;"",VLOOKUP(L321,Desagregations!$A:$B,2,0),""),IF(M321&lt;&gt;"","_",""),IF(M321&lt;&gt;"",VLOOKUP(M321,Desagregations!$A:$B,2,0),""),IF(N321&lt;&gt;"","_",""),IF(N321&lt;&gt;"",VLOOKUP(N321,Desagregations!$A:$B,2,0),""),IF(O321&lt;&gt;"","_",""),IF(O321&lt;&gt;"",VLOOKUP(O321,Desagregations!$A:$B,2,0),""),IF(P321&lt;&gt;"","_",""),IF(P321&lt;&gt;"",VLOOKUP(P321,Desagregations!$A:$B,2,0),"")),"-",VLOOKUP(D321,Unites!$A:$B,2,0),"-",VLOOKUP(E321,Sources!$A:$B,2,0),"-",VLOOKUP(F321,CommentaireValeurIndicateurs!$A:$B,2,0),"-",VLOOKUP(G321,NatureDonnees!$A:$B,2,0),"-",VLOOKUP(H321,Periodes!$A:$B,2,0))</f>
        <v>1281-1-6-4-25-3-1-30</v>
      </c>
      <c r="B321" s="2" t="s">
        <v>37</v>
      </c>
      <c r="C321" s="4" t="s">
        <v>136</v>
      </c>
      <c r="D321" t="s">
        <v>125</v>
      </c>
      <c r="E321" t="s">
        <v>99</v>
      </c>
      <c r="F321" s="4" t="s">
        <v>399</v>
      </c>
      <c r="G321" s="4" t="s">
        <v>400</v>
      </c>
      <c r="H321">
        <v>2029</v>
      </c>
      <c r="I321">
        <v>45</v>
      </c>
      <c r="K321" t="s">
        <v>77</v>
      </c>
    </row>
    <row r="322" spans="1:11" x14ac:dyDescent="0.25">
      <c r="A322" t="str">
        <f>_xlfn.CONCAT(VLOOKUP(B322,Indicateurs!$A:$B,2,0),"-",VLOOKUP(C322,Zones!$A:$B,2,0),"-",_xlfn.CONCAT(IF(K322&lt;&gt;"",VLOOKUP(K322,Desagregations!$A:$B,2,0),""),IF(L322&lt;&gt;"","_",""),IF(L322&lt;&gt;"",VLOOKUP(L322,Desagregations!$A:$B,2,0),""),IF(M322&lt;&gt;"","_",""),IF(M322&lt;&gt;"",VLOOKUP(M322,Desagregations!$A:$B,2,0),""),IF(N322&lt;&gt;"","_",""),IF(N322&lt;&gt;"",VLOOKUP(N322,Desagregations!$A:$B,2,0),""),IF(O322&lt;&gt;"","_",""),IF(O322&lt;&gt;"",VLOOKUP(O322,Desagregations!$A:$B,2,0),""),IF(P322&lt;&gt;"","_",""),IF(P322&lt;&gt;"",VLOOKUP(P322,Desagregations!$A:$B,2,0),"")),"-",VLOOKUP(D322,Unites!$A:$B,2,0),"-",VLOOKUP(E322,Sources!$A:$B,2,0),"-",VLOOKUP(F322,CommentaireValeurIndicateurs!$A:$B,2,0),"-",VLOOKUP(G322,NatureDonnees!$A:$B,2,0),"-",VLOOKUP(H322,Periodes!$A:$B,2,0))</f>
        <v>1282-1-6-4-25-3-1-30</v>
      </c>
      <c r="B322" s="2" t="s">
        <v>38</v>
      </c>
      <c r="C322" s="4" t="s">
        <v>136</v>
      </c>
      <c r="D322" t="s">
        <v>125</v>
      </c>
      <c r="E322" t="s">
        <v>99</v>
      </c>
      <c r="F322" s="4" t="s">
        <v>399</v>
      </c>
      <c r="G322" s="4" t="s">
        <v>400</v>
      </c>
      <c r="H322">
        <v>2029</v>
      </c>
      <c r="I322">
        <v>64</v>
      </c>
      <c r="K322" t="s">
        <v>77</v>
      </c>
    </row>
    <row r="323" spans="1:11" x14ac:dyDescent="0.25">
      <c r="A323" t="str">
        <f>_xlfn.CONCAT(VLOOKUP(B323,Indicateurs!$A:$B,2,0),"-",VLOOKUP(C323,Zones!$A:$B,2,0),"-",_xlfn.CONCAT(IF(K323&lt;&gt;"",VLOOKUP(K323,Desagregations!$A:$B,2,0),""),IF(L323&lt;&gt;"","_",""),IF(L323&lt;&gt;"",VLOOKUP(L323,Desagregations!$A:$B,2,0),""),IF(M323&lt;&gt;"","_",""),IF(M323&lt;&gt;"",VLOOKUP(M323,Desagregations!$A:$B,2,0),""),IF(N323&lt;&gt;"","_",""),IF(N323&lt;&gt;"",VLOOKUP(N323,Desagregations!$A:$B,2,0),""),IF(O323&lt;&gt;"","_",""),IF(O323&lt;&gt;"",VLOOKUP(O323,Desagregations!$A:$B,2,0),""),IF(P323&lt;&gt;"","_",""),IF(P323&lt;&gt;"",VLOOKUP(P323,Desagregations!$A:$B,2,0),"")),"-",VLOOKUP(D323,Unites!$A:$B,2,0),"-",VLOOKUP(E323,Sources!$A:$B,2,0),"-",VLOOKUP(F323,CommentaireValeurIndicateurs!$A:$B,2,0),"-",VLOOKUP(G323,NatureDonnees!$A:$B,2,0),"-",VLOOKUP(H323,Periodes!$A:$B,2,0))</f>
        <v>1283-1-6-4-26-3-1-30</v>
      </c>
      <c r="B323" s="2" t="s">
        <v>39</v>
      </c>
      <c r="C323" s="4" t="s">
        <v>136</v>
      </c>
      <c r="D323" t="s">
        <v>125</v>
      </c>
      <c r="E323" t="s">
        <v>100</v>
      </c>
      <c r="F323" s="4" t="s">
        <v>399</v>
      </c>
      <c r="G323" s="4" t="s">
        <v>400</v>
      </c>
      <c r="H323">
        <v>2029</v>
      </c>
      <c r="I323">
        <v>4.2</v>
      </c>
      <c r="K323" t="s">
        <v>77</v>
      </c>
    </row>
    <row r="324" spans="1:11" x14ac:dyDescent="0.25">
      <c r="A324" t="str">
        <f>_xlfn.CONCAT(VLOOKUP(B324,Indicateurs!$A:$B,2,0),"-",VLOOKUP(C324,Zones!$A:$B,2,0),"-",_xlfn.CONCAT(IF(K324&lt;&gt;"",VLOOKUP(K324,Desagregations!$A:$B,2,0),""),IF(L324&lt;&gt;"","_",""),IF(L324&lt;&gt;"",VLOOKUP(L324,Desagregations!$A:$B,2,0),""),IF(M324&lt;&gt;"","_",""),IF(M324&lt;&gt;"",VLOOKUP(M324,Desagregations!$A:$B,2,0),""),IF(N324&lt;&gt;"","_",""),IF(N324&lt;&gt;"",VLOOKUP(N324,Desagregations!$A:$B,2,0),""),IF(O324&lt;&gt;"","_",""),IF(O324&lt;&gt;"",VLOOKUP(O324,Desagregations!$A:$B,2,0),""),IF(P324&lt;&gt;"","_",""),IF(P324&lt;&gt;"",VLOOKUP(P324,Desagregations!$A:$B,2,0),"")),"-",VLOOKUP(D324,Unites!$A:$B,2,0),"-",VLOOKUP(E324,Sources!$A:$B,2,0),"-",VLOOKUP(F324,CommentaireValeurIndicateurs!$A:$B,2,0),"-",VLOOKUP(G324,NatureDonnees!$A:$B,2,0),"-",VLOOKUP(H324,Periodes!$A:$B,2,0))</f>
        <v>1284-1-6-4-26-3-1-30</v>
      </c>
      <c r="B324" s="2" t="s">
        <v>40</v>
      </c>
      <c r="C324" s="4" t="s">
        <v>136</v>
      </c>
      <c r="D324" t="s">
        <v>125</v>
      </c>
      <c r="E324" t="s">
        <v>100</v>
      </c>
      <c r="F324" s="4" t="s">
        <v>399</v>
      </c>
      <c r="G324" s="4" t="s">
        <v>400</v>
      </c>
      <c r="H324">
        <v>2029</v>
      </c>
      <c r="I324">
        <v>6.5</v>
      </c>
      <c r="K324" t="s">
        <v>77</v>
      </c>
    </row>
    <row r="325" spans="1:11" x14ac:dyDescent="0.25">
      <c r="A325" t="str">
        <f>_xlfn.CONCAT(VLOOKUP(B325,Indicateurs!$A:$B,2,0),"-",VLOOKUP(C325,Zones!$A:$B,2,0),"-",_xlfn.CONCAT(IF(K325&lt;&gt;"",VLOOKUP(K325,Desagregations!$A:$B,2,0),""),IF(L325&lt;&gt;"","_",""),IF(L325&lt;&gt;"",VLOOKUP(L325,Desagregations!$A:$B,2,0),""),IF(M325&lt;&gt;"","_",""),IF(M325&lt;&gt;"",VLOOKUP(M325,Desagregations!$A:$B,2,0),""),IF(N325&lt;&gt;"","_",""),IF(N325&lt;&gt;"",VLOOKUP(N325,Desagregations!$A:$B,2,0),""),IF(O325&lt;&gt;"","_",""),IF(O325&lt;&gt;"",VLOOKUP(O325,Desagregations!$A:$B,2,0),""),IF(P325&lt;&gt;"","_",""),IF(P325&lt;&gt;"",VLOOKUP(P325,Desagregations!$A:$B,2,0),"")),"-",VLOOKUP(D325,Unites!$A:$B,2,0),"-",VLOOKUP(E325,Sources!$A:$B,2,0),"-",VLOOKUP(F325,CommentaireValeurIndicateurs!$A:$B,2,0),"-",VLOOKUP(G325,NatureDonnees!$A:$B,2,0),"-",VLOOKUP(H325,Periodes!$A:$B,2,0))</f>
        <v>1285-1-6-4-27-3-1-30</v>
      </c>
      <c r="B325" s="2" t="s">
        <v>41</v>
      </c>
      <c r="C325" s="4" t="s">
        <v>136</v>
      </c>
      <c r="D325" t="s">
        <v>125</v>
      </c>
      <c r="E325" t="s">
        <v>101</v>
      </c>
      <c r="F325" s="4" t="s">
        <v>399</v>
      </c>
      <c r="G325" s="4" t="s">
        <v>400</v>
      </c>
      <c r="H325">
        <v>2029</v>
      </c>
      <c r="I325">
        <v>56.71</v>
      </c>
      <c r="K325" t="s">
        <v>77</v>
      </c>
    </row>
    <row r="326" spans="1:11" x14ac:dyDescent="0.25">
      <c r="A326" t="str">
        <f>_xlfn.CONCAT(VLOOKUP(B326,Indicateurs!$A:$B,2,0),"-",VLOOKUP(C326,Zones!$A:$B,2,0),"-",_xlfn.CONCAT(IF(K326&lt;&gt;"",VLOOKUP(K326,Desagregations!$A:$B,2,0),""),IF(L326&lt;&gt;"","_",""),IF(L326&lt;&gt;"",VLOOKUP(L326,Desagregations!$A:$B,2,0),""),IF(M326&lt;&gt;"","_",""),IF(M326&lt;&gt;"",VLOOKUP(M326,Desagregations!$A:$B,2,0),""),IF(N326&lt;&gt;"","_",""),IF(N326&lt;&gt;"",VLOOKUP(N326,Desagregations!$A:$B,2,0),""),IF(O326&lt;&gt;"","_",""),IF(O326&lt;&gt;"",VLOOKUP(O326,Desagregations!$A:$B,2,0),""),IF(P326&lt;&gt;"","_",""),IF(P326&lt;&gt;"",VLOOKUP(P326,Desagregations!$A:$B,2,0),"")),"-",VLOOKUP(D326,Unites!$A:$B,2,0),"-",VLOOKUP(E326,Sources!$A:$B,2,0),"-",VLOOKUP(F326,CommentaireValeurIndicateurs!$A:$B,2,0),"-",VLOOKUP(G326,NatureDonnees!$A:$B,2,0),"-",VLOOKUP(H326,Periodes!$A:$B,2,0))</f>
        <v>1286-1-6-10-28-3-1-30</v>
      </c>
      <c r="B326" s="2" t="s">
        <v>42</v>
      </c>
      <c r="C326" s="4" t="s">
        <v>136</v>
      </c>
      <c r="D326" t="s">
        <v>131</v>
      </c>
      <c r="E326" t="s">
        <v>102</v>
      </c>
      <c r="F326" s="4" t="s">
        <v>399</v>
      </c>
      <c r="G326" s="4" t="s">
        <v>400</v>
      </c>
      <c r="H326">
        <v>2029</v>
      </c>
      <c r="I326">
        <v>13.41</v>
      </c>
      <c r="K326" t="s">
        <v>77</v>
      </c>
    </row>
    <row r="327" spans="1:11" x14ac:dyDescent="0.25">
      <c r="A327" t="str">
        <f>_xlfn.CONCAT(VLOOKUP(B327,Indicateurs!$A:$B,2,0),"-",VLOOKUP(C327,Zones!$A:$B,2,0),"-",_xlfn.CONCAT(IF(K327&lt;&gt;"",VLOOKUP(K327,Desagregations!$A:$B,2,0),""),IF(L327&lt;&gt;"","_",""),IF(L327&lt;&gt;"",VLOOKUP(L327,Desagregations!$A:$B,2,0),""),IF(M327&lt;&gt;"","_",""),IF(M327&lt;&gt;"",VLOOKUP(M327,Desagregations!$A:$B,2,0),""),IF(N327&lt;&gt;"","_",""),IF(N327&lt;&gt;"",VLOOKUP(N327,Desagregations!$A:$B,2,0),""),IF(O327&lt;&gt;"","_",""),IF(O327&lt;&gt;"",VLOOKUP(O327,Desagregations!$A:$B,2,0),""),IF(P327&lt;&gt;"","_",""),IF(P327&lt;&gt;"",VLOOKUP(P327,Desagregations!$A:$B,2,0),"")),"-",VLOOKUP(D327,Unites!$A:$B,2,0),"-",VLOOKUP(E327,Sources!$A:$B,2,0),"-",VLOOKUP(F327,CommentaireValeurIndicateurs!$A:$B,2,0),"-",VLOOKUP(G327,NatureDonnees!$A:$B,2,0),"-",VLOOKUP(H327,Periodes!$A:$B,2,0))</f>
        <v>1287-1-6-6-29-3-1-30</v>
      </c>
      <c r="B327" s="2" t="s">
        <v>43</v>
      </c>
      <c r="C327" s="4" t="s">
        <v>136</v>
      </c>
      <c r="D327" t="s">
        <v>127</v>
      </c>
      <c r="E327" t="s">
        <v>103</v>
      </c>
      <c r="F327" s="4" t="s">
        <v>399</v>
      </c>
      <c r="G327" s="4" t="s">
        <v>400</v>
      </c>
      <c r="H327">
        <v>2029</v>
      </c>
      <c r="I327">
        <v>20</v>
      </c>
      <c r="K327" t="s">
        <v>77</v>
      </c>
    </row>
    <row r="328" spans="1:11" x14ac:dyDescent="0.25">
      <c r="A328" t="str">
        <f>_xlfn.CONCAT(VLOOKUP(B328,Indicateurs!$A:$B,2,0),"-",VLOOKUP(C328,Zones!$A:$B,2,0),"-",_xlfn.CONCAT(IF(K328&lt;&gt;"",VLOOKUP(K328,Desagregations!$A:$B,2,0),""),IF(L328&lt;&gt;"","_",""),IF(L328&lt;&gt;"",VLOOKUP(L328,Desagregations!$A:$B,2,0),""),IF(M328&lt;&gt;"","_",""),IF(M328&lt;&gt;"",VLOOKUP(M328,Desagregations!$A:$B,2,0),""),IF(N328&lt;&gt;"","_",""),IF(N328&lt;&gt;"",VLOOKUP(N328,Desagregations!$A:$B,2,0),""),IF(O328&lt;&gt;"","_",""),IF(O328&lt;&gt;"",VLOOKUP(O328,Desagregations!$A:$B,2,0),""),IF(P328&lt;&gt;"","_",""),IF(P328&lt;&gt;"",VLOOKUP(P328,Desagregations!$A:$B,2,0),"")),"-",VLOOKUP(D328,Unites!$A:$B,2,0),"-",VLOOKUP(E328,Sources!$A:$B,2,0),"-",VLOOKUP(F328,CommentaireValeurIndicateurs!$A:$B,2,0),"-",VLOOKUP(G328,NatureDonnees!$A:$B,2,0),"-",VLOOKUP(H328,Periodes!$A:$B,2,0))</f>
        <v>1288-1-6-4-30-3-1-30</v>
      </c>
      <c r="B328" s="2" t="s">
        <v>44</v>
      </c>
      <c r="C328" s="4" t="s">
        <v>136</v>
      </c>
      <c r="D328" t="s">
        <v>125</v>
      </c>
      <c r="E328" s="4" t="s">
        <v>104</v>
      </c>
      <c r="F328" s="4" t="s">
        <v>399</v>
      </c>
      <c r="G328" s="4" t="s">
        <v>400</v>
      </c>
      <c r="H328">
        <v>2029</v>
      </c>
      <c r="I328">
        <v>100</v>
      </c>
      <c r="K328" t="s">
        <v>77</v>
      </c>
    </row>
    <row r="329" spans="1:11" x14ac:dyDescent="0.25">
      <c r="A329" t="str">
        <f>_xlfn.CONCAT(VLOOKUP(B329,Indicateurs!$A:$B,2,0),"-",VLOOKUP(C329,Zones!$A:$B,2,0),"-",_xlfn.CONCAT(IF(K329&lt;&gt;"",VLOOKUP(K329,Desagregations!$A:$B,2,0),""),IF(L329&lt;&gt;"","_",""),IF(L329&lt;&gt;"",VLOOKUP(L329,Desagregations!$A:$B,2,0),""),IF(M329&lt;&gt;"","_",""),IF(M329&lt;&gt;"",VLOOKUP(M329,Desagregations!$A:$B,2,0),""),IF(N329&lt;&gt;"","_",""),IF(N329&lt;&gt;"",VLOOKUP(N329,Desagregations!$A:$B,2,0),""),IF(O329&lt;&gt;"","_",""),IF(O329&lt;&gt;"",VLOOKUP(O329,Desagregations!$A:$B,2,0),""),IF(P329&lt;&gt;"","_",""),IF(P329&lt;&gt;"",VLOOKUP(P329,Desagregations!$A:$B,2,0),"")),"-",VLOOKUP(D329,Unites!$A:$B,2,0),"-",VLOOKUP(E329,Sources!$A:$B,2,0),"-",VLOOKUP(F329,CommentaireValeurIndicateurs!$A:$B,2,0),"-",VLOOKUP(G329,NatureDonnees!$A:$B,2,0),"-",VLOOKUP(H329,Periodes!$A:$B,2,0))</f>
        <v>1289-1-6-4-30-3-1-30</v>
      </c>
      <c r="B329" s="2" t="s">
        <v>45</v>
      </c>
      <c r="C329" s="4" t="s">
        <v>136</v>
      </c>
      <c r="D329" t="s">
        <v>125</v>
      </c>
      <c r="E329" s="4" t="s">
        <v>104</v>
      </c>
      <c r="F329" s="4" t="s">
        <v>399</v>
      </c>
      <c r="G329" s="4" t="s">
        <v>400</v>
      </c>
      <c r="H329">
        <v>2029</v>
      </c>
      <c r="I329">
        <v>80</v>
      </c>
      <c r="K329" t="s">
        <v>77</v>
      </c>
    </row>
    <row r="330" spans="1:11" x14ac:dyDescent="0.25">
      <c r="A330" t="str">
        <f>_xlfn.CONCAT(VLOOKUP(B330,Indicateurs!$A:$B,2,0),"-",VLOOKUP(C330,Zones!$A:$B,2,0),"-",_xlfn.CONCAT(IF(K330&lt;&gt;"",VLOOKUP(K330,Desagregations!$A:$B,2,0),""),IF(L330&lt;&gt;"","_",""),IF(L330&lt;&gt;"",VLOOKUP(L330,Desagregations!$A:$B,2,0),""),IF(M330&lt;&gt;"","_",""),IF(M330&lt;&gt;"",VLOOKUP(M330,Desagregations!$A:$B,2,0),""),IF(N330&lt;&gt;"","_",""),IF(N330&lt;&gt;"",VLOOKUP(N330,Desagregations!$A:$B,2,0),""),IF(O330&lt;&gt;"","_",""),IF(O330&lt;&gt;"",VLOOKUP(O330,Desagregations!$A:$B,2,0),""),IF(P330&lt;&gt;"","_",""),IF(P330&lt;&gt;"",VLOOKUP(P330,Desagregations!$A:$B,2,0),"")),"-",VLOOKUP(D330,Unites!$A:$B,2,0),"-",VLOOKUP(E330,Sources!$A:$B,2,0),"-",VLOOKUP(F330,CommentaireValeurIndicateurs!$A:$B,2,0),"-",VLOOKUP(G330,NatureDonnees!$A:$B,2,0),"-",VLOOKUP(H330,Periodes!$A:$B,2,0))</f>
        <v>1290-1-6-4-4-3-1-30</v>
      </c>
      <c r="B330" s="2" t="s">
        <v>46</v>
      </c>
      <c r="C330" s="4" t="s">
        <v>136</v>
      </c>
      <c r="D330" t="s">
        <v>125</v>
      </c>
      <c r="E330" t="s">
        <v>78</v>
      </c>
      <c r="F330" s="4" t="s">
        <v>399</v>
      </c>
      <c r="G330" s="4" t="s">
        <v>400</v>
      </c>
      <c r="H330">
        <v>2029</v>
      </c>
      <c r="I330">
        <v>42.92</v>
      </c>
      <c r="K330" t="s">
        <v>77</v>
      </c>
    </row>
    <row r="331" spans="1:11" x14ac:dyDescent="0.25">
      <c r="A331" t="str">
        <f>_xlfn.CONCAT(VLOOKUP(B331,Indicateurs!$A:$B,2,0),"-",VLOOKUP(C331,Zones!$A:$B,2,0),"-",_xlfn.CONCAT(IF(K331&lt;&gt;"",VLOOKUP(K331,Desagregations!$A:$B,2,0),""),IF(L331&lt;&gt;"","_",""),IF(L331&lt;&gt;"",VLOOKUP(L331,Desagregations!$A:$B,2,0),""),IF(M331&lt;&gt;"","_",""),IF(M331&lt;&gt;"",VLOOKUP(M331,Desagregations!$A:$B,2,0),""),IF(N331&lt;&gt;"","_",""),IF(N331&lt;&gt;"",VLOOKUP(N331,Desagregations!$A:$B,2,0),""),IF(O331&lt;&gt;"","_",""),IF(O331&lt;&gt;"",VLOOKUP(O331,Desagregations!$A:$B,2,0),""),IF(P331&lt;&gt;"","_",""),IF(P331&lt;&gt;"",VLOOKUP(P331,Desagregations!$A:$B,2,0),"")),"-",VLOOKUP(D331,Unites!$A:$B,2,0),"-",VLOOKUP(E331,Sources!$A:$B,2,0),"-",VLOOKUP(F331,CommentaireValeurIndicateurs!$A:$B,2,0),"-",VLOOKUP(G331,NatureDonnees!$A:$B,2,0),"-",VLOOKUP(H331,Periodes!$A:$B,2,0))</f>
        <v>1291-1-6-11-31-3-1-30</v>
      </c>
      <c r="B331" s="2" t="s">
        <v>47</v>
      </c>
      <c r="C331" s="4" t="s">
        <v>136</v>
      </c>
      <c r="D331" t="s">
        <v>132</v>
      </c>
      <c r="E331" t="s">
        <v>105</v>
      </c>
      <c r="F331" s="4" t="s">
        <v>399</v>
      </c>
      <c r="G331" s="4" t="s">
        <v>400</v>
      </c>
      <c r="H331">
        <v>2029</v>
      </c>
      <c r="I331">
        <v>54</v>
      </c>
      <c r="K331" t="s">
        <v>77</v>
      </c>
    </row>
    <row r="332" spans="1:11" x14ac:dyDescent="0.25">
      <c r="A332" t="str">
        <f>_xlfn.CONCAT(VLOOKUP(B332,Indicateurs!$A:$B,2,0),"-",VLOOKUP(C332,Zones!$A:$B,2,0),"-",_xlfn.CONCAT(IF(K332&lt;&gt;"",VLOOKUP(K332,Desagregations!$A:$B,2,0),""),IF(L332&lt;&gt;"","_",""),IF(L332&lt;&gt;"",VLOOKUP(L332,Desagregations!$A:$B,2,0),""),IF(M332&lt;&gt;"","_",""),IF(M332&lt;&gt;"",VLOOKUP(M332,Desagregations!$A:$B,2,0),""),IF(N332&lt;&gt;"","_",""),IF(N332&lt;&gt;"",VLOOKUP(N332,Desagregations!$A:$B,2,0),""),IF(O332&lt;&gt;"","_",""),IF(O332&lt;&gt;"",VLOOKUP(O332,Desagregations!$A:$B,2,0),""),IF(P332&lt;&gt;"","_",""),IF(P332&lt;&gt;"",VLOOKUP(P332,Desagregations!$A:$B,2,0),"")),"-",VLOOKUP(D332,Unites!$A:$B,2,0),"-",VLOOKUP(E332,Sources!$A:$B,2,0),"-",VLOOKUP(F332,CommentaireValeurIndicateurs!$A:$B,2,0),"-",VLOOKUP(G332,NatureDonnees!$A:$B,2,0),"-",VLOOKUP(H332,Periodes!$A:$B,2,0))</f>
        <v>1292-1-6-12-32-3-1-30</v>
      </c>
      <c r="B332" s="2" t="s">
        <v>48</v>
      </c>
      <c r="C332" s="4" t="s">
        <v>136</v>
      </c>
      <c r="D332" t="s">
        <v>133</v>
      </c>
      <c r="E332" t="s">
        <v>106</v>
      </c>
      <c r="F332" s="4" t="s">
        <v>399</v>
      </c>
      <c r="G332" s="4" t="s">
        <v>400</v>
      </c>
      <c r="H332">
        <v>2029</v>
      </c>
      <c r="I332">
        <v>240.8</v>
      </c>
      <c r="K332" t="s">
        <v>77</v>
      </c>
    </row>
    <row r="333" spans="1:11" x14ac:dyDescent="0.25">
      <c r="A333" t="str">
        <f>_xlfn.CONCAT(VLOOKUP(B333,Indicateurs!$A:$B,2,0),"-",VLOOKUP(C333,Zones!$A:$B,2,0),"-",_xlfn.CONCAT(IF(K333&lt;&gt;"",VLOOKUP(K333,Desagregations!$A:$B,2,0),""),IF(L333&lt;&gt;"","_",""),IF(L333&lt;&gt;"",VLOOKUP(L333,Desagregations!$A:$B,2,0),""),IF(M333&lt;&gt;"","_",""),IF(M333&lt;&gt;"",VLOOKUP(M333,Desagregations!$A:$B,2,0),""),IF(N333&lt;&gt;"","_",""),IF(N333&lt;&gt;"",VLOOKUP(N333,Desagregations!$A:$B,2,0),""),IF(O333&lt;&gt;"","_",""),IF(O333&lt;&gt;"",VLOOKUP(O333,Desagregations!$A:$B,2,0),""),IF(P333&lt;&gt;"","_",""),IF(P333&lt;&gt;"",VLOOKUP(P333,Desagregations!$A:$B,2,0),"")),"-",VLOOKUP(D333,Unites!$A:$B,2,0),"-",VLOOKUP(E333,Sources!$A:$B,2,0),"-",VLOOKUP(F333,CommentaireValeurIndicateurs!$A:$B,2,0),"-",VLOOKUP(G333,NatureDonnees!$A:$B,2,0),"-",VLOOKUP(H333,Periodes!$A:$B,2,0))</f>
        <v>1293-1-6-4-33-3-1-30</v>
      </c>
      <c r="B333" s="2" t="s">
        <v>49</v>
      </c>
      <c r="C333" s="4" t="s">
        <v>136</v>
      </c>
      <c r="D333" t="s">
        <v>125</v>
      </c>
      <c r="E333" t="s">
        <v>107</v>
      </c>
      <c r="F333" s="4" t="s">
        <v>399</v>
      </c>
      <c r="G333" s="4" t="s">
        <v>400</v>
      </c>
      <c r="H333">
        <v>2029</v>
      </c>
      <c r="I333">
        <v>52.3</v>
      </c>
      <c r="K333" t="s">
        <v>77</v>
      </c>
    </row>
    <row r="334" spans="1:11" x14ac:dyDescent="0.25">
      <c r="A334" t="str">
        <f>_xlfn.CONCAT(VLOOKUP(B334,Indicateurs!$A:$B,2,0),"-",VLOOKUP(C334,Zones!$A:$B,2,0),"-",_xlfn.CONCAT(IF(K334&lt;&gt;"",VLOOKUP(K334,Desagregations!$A:$B,2,0),""),IF(L334&lt;&gt;"","_",""),IF(L334&lt;&gt;"",VLOOKUP(L334,Desagregations!$A:$B,2,0),""),IF(M334&lt;&gt;"","_",""),IF(M334&lt;&gt;"",VLOOKUP(M334,Desagregations!$A:$B,2,0),""),IF(N334&lt;&gt;"","_",""),IF(N334&lt;&gt;"",VLOOKUP(N334,Desagregations!$A:$B,2,0),""),IF(O334&lt;&gt;"","_",""),IF(O334&lt;&gt;"",VLOOKUP(O334,Desagregations!$A:$B,2,0),""),IF(P334&lt;&gt;"","_",""),IF(P334&lt;&gt;"",VLOOKUP(P334,Desagregations!$A:$B,2,0),"")),"-",VLOOKUP(D334,Unites!$A:$B,2,0),"-",VLOOKUP(E334,Sources!$A:$B,2,0),"-",VLOOKUP(F334,CommentaireValeurIndicateurs!$A:$B,2,0),"-",VLOOKUP(G334,NatureDonnees!$A:$B,2,0),"-",VLOOKUP(H334,Periodes!$A:$B,2,0))</f>
        <v>1294-1-6-4-33-3-1-30</v>
      </c>
      <c r="B334" s="2" t="s">
        <v>50</v>
      </c>
      <c r="C334" s="4" t="s">
        <v>136</v>
      </c>
      <c r="D334" t="s">
        <v>125</v>
      </c>
      <c r="E334" t="s">
        <v>107</v>
      </c>
      <c r="F334" s="4" t="s">
        <v>399</v>
      </c>
      <c r="G334" s="4" t="s">
        <v>400</v>
      </c>
      <c r="H334">
        <v>2029</v>
      </c>
      <c r="I334">
        <v>17.600000000000001</v>
      </c>
      <c r="K334" t="s">
        <v>77</v>
      </c>
    </row>
    <row r="335" spans="1:11" x14ac:dyDescent="0.25">
      <c r="A335" t="str">
        <f>_xlfn.CONCAT(VLOOKUP(B335,Indicateurs!$A:$B,2,0),"-",VLOOKUP(C335,Zones!$A:$B,2,0),"-",_xlfn.CONCAT(IF(K335&lt;&gt;"",VLOOKUP(K335,Desagregations!$A:$B,2,0),""),IF(L335&lt;&gt;"","_",""),IF(L335&lt;&gt;"",VLOOKUP(L335,Desagregations!$A:$B,2,0),""),IF(M335&lt;&gt;"","_",""),IF(M335&lt;&gt;"",VLOOKUP(M335,Desagregations!$A:$B,2,0),""),IF(N335&lt;&gt;"","_",""),IF(N335&lt;&gt;"",VLOOKUP(N335,Desagregations!$A:$B,2,0),""),IF(O335&lt;&gt;"","_",""),IF(O335&lt;&gt;"",VLOOKUP(O335,Desagregations!$A:$B,2,0),""),IF(P335&lt;&gt;"","_",""),IF(P335&lt;&gt;"",VLOOKUP(P335,Desagregations!$A:$B,2,0),"")),"-",VLOOKUP(D335,Unites!$A:$B,2,0),"-",VLOOKUP(E335,Sources!$A:$B,2,0),"-",VLOOKUP(F335,CommentaireValeurIndicateurs!$A:$B,2,0),"-",VLOOKUP(G335,NatureDonnees!$A:$B,2,0),"-",VLOOKUP(H335,Periodes!$A:$B,2,0))</f>
        <v>1295-1-6-4-33-3-1-30</v>
      </c>
      <c r="B335" s="2" t="s">
        <v>51</v>
      </c>
      <c r="C335" s="4" t="s">
        <v>136</v>
      </c>
      <c r="D335" t="s">
        <v>125</v>
      </c>
      <c r="E335" t="s">
        <v>107</v>
      </c>
      <c r="F335" s="4" t="s">
        <v>399</v>
      </c>
      <c r="G335" s="4" t="s">
        <v>400</v>
      </c>
      <c r="H335">
        <v>2029</v>
      </c>
      <c r="I335">
        <v>11.05</v>
      </c>
      <c r="K335" t="s">
        <v>77</v>
      </c>
    </row>
    <row r="336" spans="1:11" x14ac:dyDescent="0.25">
      <c r="A336" t="str">
        <f>_xlfn.CONCAT(VLOOKUP(B336,Indicateurs!$A:$B,2,0),"-",VLOOKUP(C336,Zones!$A:$B,2,0),"-",_xlfn.CONCAT(IF(K336&lt;&gt;"",VLOOKUP(K336,Desagregations!$A:$B,2,0),""),IF(L336&lt;&gt;"","_",""),IF(L336&lt;&gt;"",VLOOKUP(L336,Desagregations!$A:$B,2,0),""),IF(M336&lt;&gt;"","_",""),IF(M336&lt;&gt;"",VLOOKUP(M336,Desagregations!$A:$B,2,0),""),IF(N336&lt;&gt;"","_",""),IF(N336&lt;&gt;"",VLOOKUP(N336,Desagregations!$A:$B,2,0),""),IF(O336&lt;&gt;"","_",""),IF(O336&lt;&gt;"",VLOOKUP(O336,Desagregations!$A:$B,2,0),""),IF(P336&lt;&gt;"","_",""),IF(P336&lt;&gt;"",VLOOKUP(P336,Desagregations!$A:$B,2,0),"")),"-",VLOOKUP(D336,Unites!$A:$B,2,0),"-",VLOOKUP(E336,Sources!$A:$B,2,0),"-",VLOOKUP(F336,CommentaireValeurIndicateurs!$A:$B,2,0),"-",VLOOKUP(G336,NatureDonnees!$A:$B,2,0),"-",VLOOKUP(H336,Periodes!$A:$B,2,0))</f>
        <v>1296-1-6-4-33-3-1-30</v>
      </c>
      <c r="B336" s="2" t="s">
        <v>52</v>
      </c>
      <c r="C336" s="4" t="s">
        <v>136</v>
      </c>
      <c r="D336" t="s">
        <v>125</v>
      </c>
      <c r="E336" t="s">
        <v>107</v>
      </c>
      <c r="F336" s="4" t="s">
        <v>399</v>
      </c>
      <c r="G336" s="4" t="s">
        <v>400</v>
      </c>
      <c r="H336">
        <v>2029</v>
      </c>
      <c r="I336">
        <v>18.600000000000001</v>
      </c>
      <c r="K336" t="s">
        <v>77</v>
      </c>
    </row>
    <row r="337" spans="1:11" x14ac:dyDescent="0.25">
      <c r="A337" t="str">
        <f>_xlfn.CONCAT(VLOOKUP(B337,Indicateurs!$A:$B,2,0),"-",VLOOKUP(C337,Zones!$A:$B,2,0),"-",_xlfn.CONCAT(IF(K337&lt;&gt;"",VLOOKUP(K337,Desagregations!$A:$B,2,0),""),IF(L337&lt;&gt;"","_",""),IF(L337&lt;&gt;"",VLOOKUP(L337,Desagregations!$A:$B,2,0),""),IF(M337&lt;&gt;"","_",""),IF(M337&lt;&gt;"",VLOOKUP(M337,Desagregations!$A:$B,2,0),""),IF(N337&lt;&gt;"","_",""),IF(N337&lt;&gt;"",VLOOKUP(N337,Desagregations!$A:$B,2,0),""),IF(O337&lt;&gt;"","_",""),IF(O337&lt;&gt;"",VLOOKUP(O337,Desagregations!$A:$B,2,0),""),IF(P337&lt;&gt;"","_",""),IF(P337&lt;&gt;"",VLOOKUP(P337,Desagregations!$A:$B,2,0),"")),"-",VLOOKUP(D337,Unites!$A:$B,2,0),"-",VLOOKUP(E337,Sources!$A:$B,2,0),"-",VLOOKUP(F337,CommentaireValeurIndicateurs!$A:$B,2,0),"-",VLOOKUP(G337,NatureDonnees!$A:$B,2,0),"-",VLOOKUP(H337,Periodes!$A:$B,2,0))</f>
        <v>1297-1-6-5-34-3-1-30</v>
      </c>
      <c r="B337" s="2" t="s">
        <v>53</v>
      </c>
      <c r="C337" s="4" t="s">
        <v>136</v>
      </c>
      <c r="D337" t="s">
        <v>126</v>
      </c>
      <c r="E337" t="s">
        <v>108</v>
      </c>
      <c r="F337" s="4" t="s">
        <v>399</v>
      </c>
      <c r="G337" s="4" t="s">
        <v>400</v>
      </c>
      <c r="H337">
        <v>2029</v>
      </c>
      <c r="I337">
        <v>3.52</v>
      </c>
      <c r="K337" t="s">
        <v>77</v>
      </c>
    </row>
    <row r="338" spans="1:11" x14ac:dyDescent="0.25">
      <c r="A338" t="str">
        <f>_xlfn.CONCAT(VLOOKUP(B338,Indicateurs!$A:$B,2,0),"-",VLOOKUP(C338,Zones!$A:$B,2,0),"-",_xlfn.CONCAT(IF(K338&lt;&gt;"",VLOOKUP(K338,Desagregations!$A:$B,2,0),""),IF(L338&lt;&gt;"","_",""),IF(L338&lt;&gt;"",VLOOKUP(L338,Desagregations!$A:$B,2,0),""),IF(M338&lt;&gt;"","_",""),IF(M338&lt;&gt;"",VLOOKUP(M338,Desagregations!$A:$B,2,0),""),IF(N338&lt;&gt;"","_",""),IF(N338&lt;&gt;"",VLOOKUP(N338,Desagregations!$A:$B,2,0),""),IF(O338&lt;&gt;"","_",""),IF(O338&lt;&gt;"",VLOOKUP(O338,Desagregations!$A:$B,2,0),""),IF(P338&lt;&gt;"","_",""),IF(P338&lt;&gt;"",VLOOKUP(P338,Desagregations!$A:$B,2,0),"")),"-",VLOOKUP(D338,Unites!$A:$B,2,0),"-",VLOOKUP(E338,Sources!$A:$B,2,0),"-",VLOOKUP(F338,CommentaireValeurIndicateurs!$A:$B,2,0),"-",VLOOKUP(G338,NatureDonnees!$A:$B,2,0),"-",VLOOKUP(H338,Periodes!$A:$B,2,0))</f>
        <v>1298-1-6-13-35-3-1-30</v>
      </c>
      <c r="B338" s="2" t="s">
        <v>54</v>
      </c>
      <c r="C338" s="4" t="s">
        <v>136</v>
      </c>
      <c r="D338" t="s">
        <v>134</v>
      </c>
      <c r="E338" t="s">
        <v>109</v>
      </c>
      <c r="F338" s="4" t="s">
        <v>399</v>
      </c>
      <c r="G338" s="4" t="s">
        <v>400</v>
      </c>
      <c r="H338">
        <v>2029</v>
      </c>
      <c r="I338">
        <v>55.22</v>
      </c>
      <c r="K338" t="s">
        <v>77</v>
      </c>
    </row>
    <row r="339" spans="1:11" x14ac:dyDescent="0.25">
      <c r="A339" t="str">
        <f>_xlfn.CONCAT(VLOOKUP(B339,Indicateurs!$A:$B,2,0),"-",VLOOKUP(C339,Zones!$A:$B,2,0),"-",_xlfn.CONCAT(IF(K339&lt;&gt;"",VLOOKUP(K339,Desagregations!$A:$B,2,0),""),IF(L339&lt;&gt;"","_",""),IF(L339&lt;&gt;"",VLOOKUP(L339,Desagregations!$A:$B,2,0),""),IF(M339&lt;&gt;"","_",""),IF(M339&lt;&gt;"",VLOOKUP(M339,Desagregations!$A:$B,2,0),""),IF(N339&lt;&gt;"","_",""),IF(N339&lt;&gt;"",VLOOKUP(N339,Desagregations!$A:$B,2,0),""),IF(O339&lt;&gt;"","_",""),IF(O339&lt;&gt;"",VLOOKUP(O339,Desagregations!$A:$B,2,0),""),IF(P339&lt;&gt;"","_",""),IF(P339&lt;&gt;"",VLOOKUP(P339,Desagregations!$A:$B,2,0),"")),"-",VLOOKUP(D339,Unites!$A:$B,2,0),"-",VLOOKUP(E339,Sources!$A:$B,2,0),"-",VLOOKUP(F339,CommentaireValeurIndicateurs!$A:$B,2,0),"-",VLOOKUP(G339,NatureDonnees!$A:$B,2,0),"-",VLOOKUP(H339,Periodes!$A:$B,2,0))</f>
        <v>1299-1-6-8-36-3-1-30</v>
      </c>
      <c r="B339" s="2" t="s">
        <v>55</v>
      </c>
      <c r="C339" s="4" t="s">
        <v>136</v>
      </c>
      <c r="D339" t="s">
        <v>129</v>
      </c>
      <c r="E339" t="s">
        <v>110</v>
      </c>
      <c r="F339" s="4" t="s">
        <v>399</v>
      </c>
      <c r="G339" s="4" t="s">
        <v>400</v>
      </c>
      <c r="H339">
        <v>2029</v>
      </c>
      <c r="I339">
        <v>1.93</v>
      </c>
      <c r="K339" t="s">
        <v>77</v>
      </c>
    </row>
    <row r="340" spans="1:11" x14ac:dyDescent="0.25">
      <c r="A340" t="str">
        <f>_xlfn.CONCAT(VLOOKUP(B340,Indicateurs!$A:$B,2,0),"-",VLOOKUP(C340,Zones!$A:$B,2,0),"-",_xlfn.CONCAT(IF(K340&lt;&gt;"",VLOOKUP(K340,Desagregations!$A:$B,2,0),""),IF(L340&lt;&gt;"","_",""),IF(L340&lt;&gt;"",VLOOKUP(L340,Desagregations!$A:$B,2,0),""),IF(M340&lt;&gt;"","_",""),IF(M340&lt;&gt;"",VLOOKUP(M340,Desagregations!$A:$B,2,0),""),IF(N340&lt;&gt;"","_",""),IF(N340&lt;&gt;"",VLOOKUP(N340,Desagregations!$A:$B,2,0),""),IF(O340&lt;&gt;"","_",""),IF(O340&lt;&gt;"",VLOOKUP(O340,Desagregations!$A:$B,2,0),""),IF(P340&lt;&gt;"","_",""),IF(P340&lt;&gt;"",VLOOKUP(P340,Desagregations!$A:$B,2,0),"")),"-",VLOOKUP(D340,Unites!$A:$B,2,0),"-",VLOOKUP(E340,Sources!$A:$B,2,0),"-",VLOOKUP(F340,CommentaireValeurIndicateurs!$A:$B,2,0),"-",VLOOKUP(G340,NatureDonnees!$A:$B,2,0),"-",VLOOKUP(H340,Periodes!$A:$B,2,0))</f>
        <v>1300-1-6-4-25-3-1-30</v>
      </c>
      <c r="B340" s="2" t="s">
        <v>56</v>
      </c>
      <c r="C340" s="4" t="s">
        <v>136</v>
      </c>
      <c r="D340" t="s">
        <v>125</v>
      </c>
      <c r="E340" t="s">
        <v>99</v>
      </c>
      <c r="F340" s="4" t="s">
        <v>399</v>
      </c>
      <c r="G340" s="4" t="s">
        <v>400</v>
      </c>
      <c r="H340">
        <v>2029</v>
      </c>
      <c r="I340">
        <v>10</v>
      </c>
      <c r="K340" t="s">
        <v>77</v>
      </c>
    </row>
    <row r="341" spans="1:11" x14ac:dyDescent="0.25">
      <c r="A341" t="e">
        <f>_xlfn.CONCAT(VLOOKUP(B341,Indicateurs!$A:$B,2,0),"-",VLOOKUP(C341,Zones!$A:$B,2,0),"-",_xlfn.CONCAT(IF(K341&lt;&gt;"",VLOOKUP(K341,Desagregations!$A:$B,2,0),""),IF(L341&lt;&gt;"","_",""),IF(L341&lt;&gt;"",VLOOKUP(L341,Desagregations!$A:$B,2,0),""),IF(M341&lt;&gt;"","_",""),IF(M341&lt;&gt;"",VLOOKUP(M341,Desagregations!$A:$B,2,0),""),IF(N341&lt;&gt;"","_",""),IF(N341&lt;&gt;"",VLOOKUP(N341,Desagregations!$A:$B,2,0),""),IF(O341&lt;&gt;"","_",""),IF(O341&lt;&gt;"",VLOOKUP(O341,Desagregations!$A:$B,2,0),""),IF(P341&lt;&gt;"","_",""),IF(P341&lt;&gt;"",VLOOKUP(P341,Desagregations!$A:$B,2,0),"")),"-",VLOOKUP(D341,Unites!$A:$B,2,0),"-",VLOOKUP(E341,Sources!$A:$B,2,0),"-",VLOOKUP(F341,CommentaireValeurIndicateurs!$A:$B,2,0),"-",VLOOKUP(G341,NatureDonnees!$A:$B,2,0),"-",VLOOKUP(H341,Periodes!$A:$B,2,0))</f>
        <v>#N/A</v>
      </c>
      <c r="B341" s="5" t="s">
        <v>57</v>
      </c>
      <c r="C341" s="4" t="s">
        <v>136</v>
      </c>
      <c r="D341" t="s">
        <v>125</v>
      </c>
      <c r="E341" t="s">
        <v>112</v>
      </c>
      <c r="F341" s="4" t="s">
        <v>399</v>
      </c>
      <c r="G341" s="4" t="s">
        <v>400</v>
      </c>
      <c r="K341" t="s">
        <v>77</v>
      </c>
    </row>
    <row r="342" spans="1:11" x14ac:dyDescent="0.25">
      <c r="A342" t="e">
        <f>_xlfn.CONCAT(VLOOKUP(B342,Indicateurs!$A:$B,2,0),"-",VLOOKUP(C342,Zones!$A:$B,2,0),"-",_xlfn.CONCAT(IF(K342&lt;&gt;"",VLOOKUP(K342,Desagregations!$A:$B,2,0),""),IF(L342&lt;&gt;"","_",""),IF(L342&lt;&gt;"",VLOOKUP(L342,Desagregations!$A:$B,2,0),""),IF(M342&lt;&gt;"","_",""),IF(M342&lt;&gt;"",VLOOKUP(M342,Desagregations!$A:$B,2,0),""),IF(N342&lt;&gt;"","_",""),IF(N342&lt;&gt;"",VLOOKUP(N342,Desagregations!$A:$B,2,0),""),IF(O342&lt;&gt;"","_",""),IF(O342&lt;&gt;"",VLOOKUP(O342,Desagregations!$A:$B,2,0),""),IF(P342&lt;&gt;"","_",""),IF(P342&lt;&gt;"",VLOOKUP(P342,Desagregations!$A:$B,2,0),"")),"-",VLOOKUP(D342,Unites!$A:$B,2,0),"-",VLOOKUP(E342,Sources!$A:$B,2,0),"-",VLOOKUP(F342,CommentaireValeurIndicateurs!$A:$B,2,0),"-",VLOOKUP(G342,NatureDonnees!$A:$B,2,0),"-",VLOOKUP(H342,Periodes!$A:$B,2,0))</f>
        <v>#N/A</v>
      </c>
      <c r="B342" s="5" t="s">
        <v>58</v>
      </c>
      <c r="C342" s="4" t="s">
        <v>136</v>
      </c>
      <c r="D342" t="s">
        <v>125</v>
      </c>
      <c r="E342" t="s">
        <v>113</v>
      </c>
      <c r="F342" s="4" t="s">
        <v>399</v>
      </c>
      <c r="G342" s="4" t="s">
        <v>400</v>
      </c>
      <c r="K342" t="s">
        <v>77</v>
      </c>
    </row>
    <row r="343" spans="1:11" x14ac:dyDescent="0.25">
      <c r="A343" t="str">
        <f>_xlfn.CONCAT(VLOOKUP(B343,Indicateurs!$A:$B,2,0),"-",VLOOKUP(C343,Zones!$A:$B,2,0),"-",_xlfn.CONCAT(IF(K343&lt;&gt;"",VLOOKUP(K343,Desagregations!$A:$B,2,0),""),IF(L343&lt;&gt;"","_",""),IF(L343&lt;&gt;"",VLOOKUP(L343,Desagregations!$A:$B,2,0),""),IF(M343&lt;&gt;"","_",""),IF(M343&lt;&gt;"",VLOOKUP(M343,Desagregations!$A:$B,2,0),""),IF(N343&lt;&gt;"","_",""),IF(N343&lt;&gt;"",VLOOKUP(N343,Desagregations!$A:$B,2,0),""),IF(O343&lt;&gt;"","_",""),IF(O343&lt;&gt;"",VLOOKUP(O343,Desagregations!$A:$B,2,0),""),IF(P343&lt;&gt;"","_",""),IF(P343&lt;&gt;"",VLOOKUP(P343,Desagregations!$A:$B,2,0),"")),"-",VLOOKUP(D343,Unites!$A:$B,2,0),"-",VLOOKUP(E343,Sources!$A:$B,2,0),"-",VLOOKUP(F343,CommentaireValeurIndicateurs!$A:$B,2,0),"-",VLOOKUP(G343,NatureDonnees!$A:$B,2,0),"-",VLOOKUP(H343,Periodes!$A:$B,2,0))</f>
        <v>1303-1-6-4-40-3-1-30</v>
      </c>
      <c r="B343" s="2" t="s">
        <v>59</v>
      </c>
      <c r="C343" s="4" t="s">
        <v>136</v>
      </c>
      <c r="D343" t="s">
        <v>125</v>
      </c>
      <c r="E343" t="s">
        <v>114</v>
      </c>
      <c r="F343" s="4" t="s">
        <v>399</v>
      </c>
      <c r="G343" s="4" t="s">
        <v>400</v>
      </c>
      <c r="H343">
        <v>2029</v>
      </c>
      <c r="I343">
        <v>70.2</v>
      </c>
      <c r="K343" t="s">
        <v>77</v>
      </c>
    </row>
    <row r="344" spans="1:11" x14ac:dyDescent="0.25">
      <c r="A344" t="str">
        <f>_xlfn.CONCAT(VLOOKUP(B344,Indicateurs!$A:$B,2,0),"-",VLOOKUP(C344,Zones!$A:$B,2,0),"-",_xlfn.CONCAT(IF(K344&lt;&gt;"",VLOOKUP(K344,Desagregations!$A:$B,2,0),""),IF(L344&lt;&gt;"","_",""),IF(L344&lt;&gt;"",VLOOKUP(L344,Desagregations!$A:$B,2,0),""),IF(M344&lt;&gt;"","_",""),IF(M344&lt;&gt;"",VLOOKUP(M344,Desagregations!$A:$B,2,0),""),IF(N344&lt;&gt;"","_",""),IF(N344&lt;&gt;"",VLOOKUP(N344,Desagregations!$A:$B,2,0),""),IF(O344&lt;&gt;"","_",""),IF(O344&lt;&gt;"",VLOOKUP(O344,Desagregations!$A:$B,2,0),""),IF(P344&lt;&gt;"","_",""),IF(P344&lt;&gt;"",VLOOKUP(P344,Desagregations!$A:$B,2,0),"")),"-",VLOOKUP(D344,Unites!$A:$B,2,0),"-",VLOOKUP(E344,Sources!$A:$B,2,0),"-",VLOOKUP(F344,CommentaireValeurIndicateurs!$A:$B,2,0),"-",VLOOKUP(G344,NatureDonnees!$A:$B,2,0),"-",VLOOKUP(H344,Periodes!$A:$B,2,0))</f>
        <v>1304-1-6-4-41-3-1-30</v>
      </c>
      <c r="B344" s="2" t="s">
        <v>60</v>
      </c>
      <c r="C344" s="4" t="s">
        <v>136</v>
      </c>
      <c r="D344" t="s">
        <v>125</v>
      </c>
      <c r="E344" t="s">
        <v>115</v>
      </c>
      <c r="F344" s="4" t="s">
        <v>399</v>
      </c>
      <c r="G344" s="4" t="s">
        <v>400</v>
      </c>
      <c r="H344">
        <v>2029</v>
      </c>
      <c r="I344">
        <v>72.83</v>
      </c>
      <c r="K344" t="s">
        <v>77</v>
      </c>
    </row>
    <row r="345" spans="1:11" x14ac:dyDescent="0.25">
      <c r="A345" t="str">
        <f>_xlfn.CONCAT(VLOOKUP(B345,Indicateurs!$A:$B,2,0),"-",VLOOKUP(C345,Zones!$A:$B,2,0),"-",_xlfn.CONCAT(IF(K345&lt;&gt;"",VLOOKUP(K345,Desagregations!$A:$B,2,0),""),IF(L345&lt;&gt;"","_",""),IF(L345&lt;&gt;"",VLOOKUP(L345,Desagregations!$A:$B,2,0),""),IF(M345&lt;&gt;"","_",""),IF(M345&lt;&gt;"",VLOOKUP(M345,Desagregations!$A:$B,2,0),""),IF(N345&lt;&gt;"","_",""),IF(N345&lt;&gt;"",VLOOKUP(N345,Desagregations!$A:$B,2,0),""),IF(O345&lt;&gt;"","_",""),IF(O345&lt;&gt;"",VLOOKUP(O345,Desagregations!$A:$B,2,0),""),IF(P345&lt;&gt;"","_",""),IF(P345&lt;&gt;"",VLOOKUP(P345,Desagregations!$A:$B,2,0),"")),"-",VLOOKUP(D345,Unites!$A:$B,2,0),"-",VLOOKUP(E345,Sources!$A:$B,2,0),"-",VLOOKUP(F345,CommentaireValeurIndicateurs!$A:$B,2,0),"-",VLOOKUP(G345,NatureDonnees!$A:$B,2,0),"-",VLOOKUP(H345,Periodes!$A:$B,2,0))</f>
        <v>1305-1-6-4-42-3-1-30</v>
      </c>
      <c r="B345" s="2" t="s">
        <v>61</v>
      </c>
      <c r="C345" s="4" t="s">
        <v>136</v>
      </c>
      <c r="D345" t="s">
        <v>125</v>
      </c>
      <c r="E345" t="s">
        <v>116</v>
      </c>
      <c r="F345" s="4" t="s">
        <v>399</v>
      </c>
      <c r="G345" s="4" t="s">
        <v>400</v>
      </c>
      <c r="H345">
        <v>2029</v>
      </c>
      <c r="I345">
        <v>80</v>
      </c>
      <c r="K345" t="s">
        <v>77</v>
      </c>
    </row>
    <row r="346" spans="1:11" x14ac:dyDescent="0.25">
      <c r="A346" t="str">
        <f>_xlfn.CONCAT(VLOOKUP(B346,Indicateurs!$A:$B,2,0),"-",VLOOKUP(C346,Zones!$A:$B,2,0),"-",_xlfn.CONCAT(IF(K346&lt;&gt;"",VLOOKUP(K346,Desagregations!$A:$B,2,0),""),IF(L346&lt;&gt;"","_",""),IF(L346&lt;&gt;"",VLOOKUP(L346,Desagregations!$A:$B,2,0),""),IF(M346&lt;&gt;"","_",""),IF(M346&lt;&gt;"",VLOOKUP(M346,Desagregations!$A:$B,2,0),""),IF(N346&lt;&gt;"","_",""),IF(N346&lt;&gt;"",VLOOKUP(N346,Desagregations!$A:$B,2,0),""),IF(O346&lt;&gt;"","_",""),IF(O346&lt;&gt;"",VLOOKUP(O346,Desagregations!$A:$B,2,0),""),IF(P346&lt;&gt;"","_",""),IF(P346&lt;&gt;"",VLOOKUP(P346,Desagregations!$A:$B,2,0),"")),"-",VLOOKUP(D346,Unites!$A:$B,2,0),"-",VLOOKUP(E346,Sources!$A:$B,2,0),"-",VLOOKUP(F346,CommentaireValeurIndicateurs!$A:$B,2,0),"-",VLOOKUP(G346,NatureDonnees!$A:$B,2,0),"-",VLOOKUP(H346,Periodes!$A:$B,2,0))</f>
        <v>1306-1-6-4-43-3-1-30</v>
      </c>
      <c r="B346" s="2" t="s">
        <v>62</v>
      </c>
      <c r="C346" s="4" t="s">
        <v>136</v>
      </c>
      <c r="D346" t="s">
        <v>125</v>
      </c>
      <c r="E346" t="s">
        <v>117</v>
      </c>
      <c r="F346" s="4" t="s">
        <v>399</v>
      </c>
      <c r="G346" s="4" t="s">
        <v>400</v>
      </c>
      <c r="H346">
        <v>2029</v>
      </c>
      <c r="I346">
        <v>5.3</v>
      </c>
      <c r="K346" t="s">
        <v>77</v>
      </c>
    </row>
    <row r="347" spans="1:11" x14ac:dyDescent="0.25">
      <c r="A347" t="str">
        <f>_xlfn.CONCAT(VLOOKUP(B347,Indicateurs!$A:$B,2,0),"-",VLOOKUP(C347,Zones!$A:$B,2,0),"-",_xlfn.CONCAT(IF(K347&lt;&gt;"",VLOOKUP(K347,Desagregations!$A:$B,2,0),""),IF(L347&lt;&gt;"","_",""),IF(L347&lt;&gt;"",VLOOKUP(L347,Desagregations!$A:$B,2,0),""),IF(M347&lt;&gt;"","_",""),IF(M347&lt;&gt;"",VLOOKUP(M347,Desagregations!$A:$B,2,0),""),IF(N347&lt;&gt;"","_",""),IF(N347&lt;&gt;"",VLOOKUP(N347,Desagregations!$A:$B,2,0),""),IF(O347&lt;&gt;"","_",""),IF(O347&lt;&gt;"",VLOOKUP(O347,Desagregations!$A:$B,2,0),""),IF(P347&lt;&gt;"","_",""),IF(P347&lt;&gt;"",VLOOKUP(P347,Desagregations!$A:$B,2,0),"")),"-",VLOOKUP(D347,Unites!$A:$B,2,0),"-",VLOOKUP(E347,Sources!$A:$B,2,0),"-",VLOOKUP(F347,CommentaireValeurIndicateurs!$A:$B,2,0),"-",VLOOKUP(G347,NatureDonnees!$A:$B,2,0),"-",VLOOKUP(H347,Periodes!$A:$B,2,0))</f>
        <v>1307-1-6-4-44-3-1-30</v>
      </c>
      <c r="B347" s="2" t="s">
        <v>63</v>
      </c>
      <c r="C347" s="4" t="s">
        <v>136</v>
      </c>
      <c r="D347" t="s">
        <v>125</v>
      </c>
      <c r="E347" t="s">
        <v>118</v>
      </c>
      <c r="F347" s="4" t="s">
        <v>399</v>
      </c>
      <c r="G347" s="4" t="s">
        <v>400</v>
      </c>
      <c r="H347">
        <v>2029</v>
      </c>
      <c r="I347">
        <v>100</v>
      </c>
      <c r="K347" t="s">
        <v>77</v>
      </c>
    </row>
    <row r="348" spans="1:11" x14ac:dyDescent="0.25">
      <c r="A348" t="str">
        <f>_xlfn.CONCAT(VLOOKUP(B348,Indicateurs!$A:$B,2,0),"-",VLOOKUP(C348,Zones!$A:$B,2,0),"-",_xlfn.CONCAT(IF(K348&lt;&gt;"",VLOOKUP(K348,Desagregations!$A:$B,2,0),""),IF(L348&lt;&gt;"","_",""),IF(L348&lt;&gt;"",VLOOKUP(L348,Desagregations!$A:$B,2,0),""),IF(M348&lt;&gt;"","_",""),IF(M348&lt;&gt;"",VLOOKUP(M348,Desagregations!$A:$B,2,0),""),IF(N348&lt;&gt;"","_",""),IF(N348&lt;&gt;"",VLOOKUP(N348,Desagregations!$A:$B,2,0),""),IF(O348&lt;&gt;"","_",""),IF(O348&lt;&gt;"",VLOOKUP(O348,Desagregations!$A:$B,2,0),""),IF(P348&lt;&gt;"","_",""),IF(P348&lt;&gt;"",VLOOKUP(P348,Desagregations!$A:$B,2,0),"")),"-",VLOOKUP(D348,Unites!$A:$B,2,0),"-",VLOOKUP(E348,Sources!$A:$B,2,0),"-",VLOOKUP(F348,CommentaireValeurIndicateurs!$A:$B,2,0),"-",VLOOKUP(G348,NatureDonnees!$A:$B,2,0),"-",VLOOKUP(H348,Periodes!$A:$B,2,0))</f>
        <v>1308-1-6-4-4-3-1-30</v>
      </c>
      <c r="B348" s="2" t="s">
        <v>64</v>
      </c>
      <c r="C348" s="4" t="s">
        <v>136</v>
      </c>
      <c r="D348" t="s">
        <v>125</v>
      </c>
      <c r="E348" t="s">
        <v>78</v>
      </c>
      <c r="F348" s="4" t="s">
        <v>399</v>
      </c>
      <c r="G348" s="4" t="s">
        <v>400</v>
      </c>
      <c r="H348">
        <v>2029</v>
      </c>
      <c r="I348">
        <v>100</v>
      </c>
      <c r="K348" t="s">
        <v>77</v>
      </c>
    </row>
    <row r="349" spans="1:11" x14ac:dyDescent="0.25">
      <c r="A349" t="str">
        <f>_xlfn.CONCAT(VLOOKUP(B349,Indicateurs!$A:$B,2,0),"-",VLOOKUP(C349,Zones!$A:$B,2,0),"-",_xlfn.CONCAT(IF(K349&lt;&gt;"",VLOOKUP(K349,Desagregations!$A:$B,2,0),""),IF(L349&lt;&gt;"","_",""),IF(L349&lt;&gt;"",VLOOKUP(L349,Desagregations!$A:$B,2,0),""),IF(M349&lt;&gt;"","_",""),IF(M349&lt;&gt;"",VLOOKUP(M349,Desagregations!$A:$B,2,0),""),IF(N349&lt;&gt;"","_",""),IF(N349&lt;&gt;"",VLOOKUP(N349,Desagregations!$A:$B,2,0),""),IF(O349&lt;&gt;"","_",""),IF(O349&lt;&gt;"",VLOOKUP(O349,Desagregations!$A:$B,2,0),""),IF(P349&lt;&gt;"","_",""),IF(P349&lt;&gt;"",VLOOKUP(P349,Desagregations!$A:$B,2,0),"")),"-",VLOOKUP(D349,Unites!$A:$B,2,0),"-",VLOOKUP(E349,Sources!$A:$B,2,0),"-",VLOOKUP(F349,CommentaireValeurIndicateurs!$A:$B,2,0),"-",VLOOKUP(G349,NatureDonnees!$A:$B,2,0),"-",VLOOKUP(H349,Periodes!$A:$B,2,0))</f>
        <v>1309-1-6-4-45-3-1-30</v>
      </c>
      <c r="B349" s="2" t="s">
        <v>65</v>
      </c>
      <c r="C349" s="4" t="s">
        <v>136</v>
      </c>
      <c r="D349" t="s">
        <v>125</v>
      </c>
      <c r="E349" t="s">
        <v>119</v>
      </c>
      <c r="F349" s="4" t="s">
        <v>399</v>
      </c>
      <c r="G349" s="4" t="s">
        <v>400</v>
      </c>
      <c r="H349">
        <v>2029</v>
      </c>
      <c r="I349">
        <v>31.3</v>
      </c>
      <c r="K349" t="s">
        <v>77</v>
      </c>
    </row>
    <row r="350" spans="1:11" x14ac:dyDescent="0.25">
      <c r="A350" t="str">
        <f>_xlfn.CONCAT(VLOOKUP(B350,Indicateurs!$A:$B,2,0),"-",VLOOKUP(C350,Zones!$A:$B,2,0),"-",_xlfn.CONCAT(IF(K350&lt;&gt;"",VLOOKUP(K350,Desagregations!$A:$B,2,0),""),IF(L350&lt;&gt;"","_",""),IF(L350&lt;&gt;"",VLOOKUP(L350,Desagregations!$A:$B,2,0),""),IF(M350&lt;&gt;"","_",""),IF(M350&lt;&gt;"",VLOOKUP(M350,Desagregations!$A:$B,2,0),""),IF(N350&lt;&gt;"","_",""),IF(N350&lt;&gt;"",VLOOKUP(N350,Desagregations!$A:$B,2,0),""),IF(O350&lt;&gt;"","_",""),IF(O350&lt;&gt;"",VLOOKUP(O350,Desagregations!$A:$B,2,0),""),IF(P350&lt;&gt;"","_",""),IF(P350&lt;&gt;"",VLOOKUP(P350,Desagregations!$A:$B,2,0),"")),"-",VLOOKUP(D350,Unites!$A:$B,2,0),"-",VLOOKUP(E350,Sources!$A:$B,2,0),"-",VLOOKUP(F350,CommentaireValeurIndicateurs!$A:$B,2,0),"-",VLOOKUP(G350,NatureDonnees!$A:$B,2,0),"-",VLOOKUP(H350,Periodes!$A:$B,2,0))</f>
        <v>1310-1-6-4-4-3-1-30</v>
      </c>
      <c r="B350" s="2" t="s">
        <v>66</v>
      </c>
      <c r="C350" s="4" t="s">
        <v>136</v>
      </c>
      <c r="D350" t="s">
        <v>125</v>
      </c>
      <c r="E350" t="s">
        <v>78</v>
      </c>
      <c r="F350" s="4" t="s">
        <v>399</v>
      </c>
      <c r="G350" s="4" t="s">
        <v>400</v>
      </c>
      <c r="H350">
        <v>2029</v>
      </c>
      <c r="I350">
        <v>7.9</v>
      </c>
      <c r="K350" t="s">
        <v>77</v>
      </c>
    </row>
    <row r="351" spans="1:11" x14ac:dyDescent="0.25">
      <c r="A351" t="str">
        <f>_xlfn.CONCAT(VLOOKUP(B351,Indicateurs!$A:$B,2,0),"-",VLOOKUP(C351,Zones!$A:$B,2,0),"-",_xlfn.CONCAT(IF(K351&lt;&gt;"",VLOOKUP(K351,Desagregations!$A:$B,2,0),""),IF(L351&lt;&gt;"","_",""),IF(L351&lt;&gt;"",VLOOKUP(L351,Desagregations!$A:$B,2,0),""),IF(M351&lt;&gt;"","_",""),IF(M351&lt;&gt;"",VLOOKUP(M351,Desagregations!$A:$B,2,0),""),IF(N351&lt;&gt;"","_",""),IF(N351&lt;&gt;"",VLOOKUP(N351,Desagregations!$A:$B,2,0),""),IF(O351&lt;&gt;"","_",""),IF(O351&lt;&gt;"",VLOOKUP(O351,Desagregations!$A:$B,2,0),""),IF(P351&lt;&gt;"","_",""),IF(P351&lt;&gt;"",VLOOKUP(P351,Desagregations!$A:$B,2,0),"")),"-",VLOOKUP(D351,Unites!$A:$B,2,0),"-",VLOOKUP(E351,Sources!$A:$B,2,0),"-",VLOOKUP(F351,CommentaireValeurIndicateurs!$A:$B,2,0),"-",VLOOKUP(G351,NatureDonnees!$A:$B,2,0),"-",VLOOKUP(H351,Periodes!$A:$B,2,0))</f>
        <v>1311-1-6-4-46-3-1-30</v>
      </c>
      <c r="B351" s="2" t="s">
        <v>67</v>
      </c>
      <c r="C351" s="4" t="s">
        <v>136</v>
      </c>
      <c r="D351" t="s">
        <v>125</v>
      </c>
      <c r="E351" t="s">
        <v>120</v>
      </c>
      <c r="F351" s="4" t="s">
        <v>399</v>
      </c>
      <c r="G351" s="4" t="s">
        <v>400</v>
      </c>
      <c r="H351">
        <v>2029</v>
      </c>
      <c r="I351">
        <v>95</v>
      </c>
      <c r="K351" t="s">
        <v>77</v>
      </c>
    </row>
    <row r="352" spans="1:11" x14ac:dyDescent="0.25">
      <c r="A352" t="str">
        <f>_xlfn.CONCAT(VLOOKUP(B352,Indicateurs!$A:$B,2,0),"-",VLOOKUP(C352,Zones!$A:$B,2,0),"-",_xlfn.CONCAT(IF(K352&lt;&gt;"",VLOOKUP(K352,Desagregations!$A:$B,2,0),""),IF(L352&lt;&gt;"","_",""),IF(L352&lt;&gt;"",VLOOKUP(L352,Desagregations!$A:$B,2,0),""),IF(M352&lt;&gt;"","_",""),IF(M352&lt;&gt;"",VLOOKUP(M352,Desagregations!$A:$B,2,0),""),IF(N352&lt;&gt;"","_",""),IF(N352&lt;&gt;"",VLOOKUP(N352,Desagregations!$A:$B,2,0),""),IF(O352&lt;&gt;"","_",""),IF(O352&lt;&gt;"",VLOOKUP(O352,Desagregations!$A:$B,2,0),""),IF(P352&lt;&gt;"","_",""),IF(P352&lt;&gt;"",VLOOKUP(P352,Desagregations!$A:$B,2,0),"")),"-",VLOOKUP(D352,Unites!$A:$B,2,0),"-",VLOOKUP(E352,Sources!$A:$B,2,0),"-",VLOOKUP(F352,CommentaireValeurIndicateurs!$A:$B,2,0),"-",VLOOKUP(G352,NatureDonnees!$A:$B,2,0),"-",VLOOKUP(H352,Periodes!$A:$B,2,0))</f>
        <v>1312-1-6-4-46-3-1-30</v>
      </c>
      <c r="B352" s="2" t="s">
        <v>68</v>
      </c>
      <c r="C352" s="4" t="s">
        <v>136</v>
      </c>
      <c r="D352" t="s">
        <v>125</v>
      </c>
      <c r="E352" t="s">
        <v>120</v>
      </c>
      <c r="F352" s="4" t="s">
        <v>399</v>
      </c>
      <c r="G352" s="4" t="s">
        <v>400</v>
      </c>
      <c r="H352">
        <v>2029</v>
      </c>
      <c r="I352">
        <v>64.59</v>
      </c>
      <c r="K352" t="s">
        <v>77</v>
      </c>
    </row>
    <row r="353" spans="1:11" x14ac:dyDescent="0.25">
      <c r="A353" t="str">
        <f>_xlfn.CONCAT(VLOOKUP(B353,Indicateurs!$A:$B,2,0),"-",VLOOKUP(C353,Zones!$A:$B,2,0),"-",_xlfn.CONCAT(IF(K353&lt;&gt;"",VLOOKUP(K353,Desagregations!$A:$B,2,0),""),IF(L353&lt;&gt;"","_",""),IF(L353&lt;&gt;"",VLOOKUP(L353,Desagregations!$A:$B,2,0),""),IF(M353&lt;&gt;"","_",""),IF(M353&lt;&gt;"",VLOOKUP(M353,Desagregations!$A:$B,2,0),""),IF(N353&lt;&gt;"","_",""),IF(N353&lt;&gt;"",VLOOKUP(N353,Desagregations!$A:$B,2,0),""),IF(O353&lt;&gt;"","_",""),IF(O353&lt;&gt;"",VLOOKUP(O353,Desagregations!$A:$B,2,0),""),IF(P353&lt;&gt;"","_",""),IF(P353&lt;&gt;"",VLOOKUP(P353,Desagregations!$A:$B,2,0),"")),"-",VLOOKUP(D353,Unites!$A:$B,2,0),"-",VLOOKUP(E353,Sources!$A:$B,2,0),"-",VLOOKUP(F353,CommentaireValeurIndicateurs!$A:$B,2,0),"-",VLOOKUP(G353,NatureDonnees!$A:$B,2,0),"-",VLOOKUP(H353,Periodes!$A:$B,2,0))</f>
        <v>1313-1-6-4-47-3-1-30</v>
      </c>
      <c r="B353" s="2" t="s">
        <v>69</v>
      </c>
      <c r="C353" s="4" t="s">
        <v>136</v>
      </c>
      <c r="D353" t="s">
        <v>125</v>
      </c>
      <c r="E353" t="s">
        <v>121</v>
      </c>
      <c r="F353" s="4" t="s">
        <v>399</v>
      </c>
      <c r="G353" s="4" t="s">
        <v>400</v>
      </c>
      <c r="H353">
        <v>2029</v>
      </c>
      <c r="I353">
        <v>27</v>
      </c>
      <c r="K353" t="s">
        <v>77</v>
      </c>
    </row>
    <row r="354" spans="1:11" x14ac:dyDescent="0.25">
      <c r="A354" t="str">
        <f>_xlfn.CONCAT(VLOOKUP(B354,Indicateurs!$A:$B,2,0),"-",VLOOKUP(C354,Zones!$A:$B,2,0),"-",_xlfn.CONCAT(IF(K354&lt;&gt;"",VLOOKUP(K354,Desagregations!$A:$B,2,0),""),IF(L354&lt;&gt;"","_",""),IF(L354&lt;&gt;"",VLOOKUP(L354,Desagregations!$A:$B,2,0),""),IF(M354&lt;&gt;"","_",""),IF(M354&lt;&gt;"",VLOOKUP(M354,Desagregations!$A:$B,2,0),""),IF(N354&lt;&gt;"","_",""),IF(N354&lt;&gt;"",VLOOKUP(N354,Desagregations!$A:$B,2,0),""),IF(O354&lt;&gt;"","_",""),IF(O354&lt;&gt;"",VLOOKUP(O354,Desagregations!$A:$B,2,0),""),IF(P354&lt;&gt;"","_",""),IF(P354&lt;&gt;"",VLOOKUP(P354,Desagregations!$A:$B,2,0),"")),"-",VLOOKUP(D354,Unites!$A:$B,2,0),"-",VLOOKUP(E354,Sources!$A:$B,2,0),"-",VLOOKUP(F354,CommentaireValeurIndicateurs!$A:$B,2,0),"-",VLOOKUP(G354,NatureDonnees!$A:$B,2,0),"-",VLOOKUP(H354,Periodes!$A:$B,2,0))</f>
        <v>1314-1-6-4-48-3-1-30</v>
      </c>
      <c r="B354" s="2" t="s">
        <v>70</v>
      </c>
      <c r="C354" s="4" t="s">
        <v>136</v>
      </c>
      <c r="D354" t="s">
        <v>125</v>
      </c>
      <c r="E354" t="s">
        <v>122</v>
      </c>
      <c r="F354" s="4" t="s">
        <v>399</v>
      </c>
      <c r="G354" s="4" t="s">
        <v>400</v>
      </c>
      <c r="H354">
        <v>2029</v>
      </c>
      <c r="I354">
        <v>40</v>
      </c>
      <c r="K354" t="s">
        <v>77</v>
      </c>
    </row>
    <row r="355" spans="1:11" x14ac:dyDescent="0.25">
      <c r="A355" t="str">
        <f>_xlfn.CONCAT(VLOOKUP(B355,Indicateurs!$A:$B,2,0),"-",VLOOKUP(C355,Zones!$A:$B,2,0),"-",_xlfn.CONCAT(IF(K355&lt;&gt;"",VLOOKUP(K355,Desagregations!$A:$B,2,0),""),IF(L355&lt;&gt;"","_",""),IF(L355&lt;&gt;"",VLOOKUP(L355,Desagregations!$A:$B,2,0),""),IF(M355&lt;&gt;"","_",""),IF(M355&lt;&gt;"",VLOOKUP(M355,Desagregations!$A:$B,2,0),""),IF(N355&lt;&gt;"","_",""),IF(N355&lt;&gt;"",VLOOKUP(N355,Desagregations!$A:$B,2,0),""),IF(O355&lt;&gt;"","_",""),IF(O355&lt;&gt;"",VLOOKUP(O355,Desagregations!$A:$B,2,0),""),IF(P355&lt;&gt;"","_",""),IF(P355&lt;&gt;"",VLOOKUP(P355,Desagregations!$A:$B,2,0),"")),"-",VLOOKUP(D355,Unites!$A:$B,2,0),"-",VLOOKUP(E355,Sources!$A:$B,2,0),"-",VLOOKUP(F355,CommentaireValeurIndicateurs!$A:$B,2,0),"-",VLOOKUP(G355,NatureDonnees!$A:$B,2,0),"-",VLOOKUP(H355,Periodes!$A:$B,2,0))</f>
        <v>1315-1-6-4-49-3-1-30</v>
      </c>
      <c r="B355" s="2" t="s">
        <v>71</v>
      </c>
      <c r="C355" s="4" t="s">
        <v>136</v>
      </c>
      <c r="D355" t="s">
        <v>125</v>
      </c>
      <c r="E355" t="s">
        <v>123</v>
      </c>
      <c r="F355" s="4" t="s">
        <v>399</v>
      </c>
      <c r="G355" s="4" t="s">
        <v>400</v>
      </c>
      <c r="H355">
        <v>2029</v>
      </c>
      <c r="I355">
        <v>66.92</v>
      </c>
      <c r="K355" t="s">
        <v>77</v>
      </c>
    </row>
    <row r="356" spans="1:11" x14ac:dyDescent="0.25">
      <c r="A356" t="str">
        <f>_xlfn.CONCAT(VLOOKUP(B356,Indicateurs!$A:$B,2,0),"-",VLOOKUP(C356,Zones!$A:$B,2,0),"-",_xlfn.CONCAT(IF(K356&lt;&gt;"",VLOOKUP(K356,Desagregations!$A:$B,2,0),""),IF(L356&lt;&gt;"","_",""),IF(L356&lt;&gt;"",VLOOKUP(L356,Desagregations!$A:$B,2,0),""),IF(M356&lt;&gt;"","_",""),IF(M356&lt;&gt;"",VLOOKUP(M356,Desagregations!$A:$B,2,0),""),IF(N356&lt;&gt;"","_",""),IF(N356&lt;&gt;"",VLOOKUP(N356,Desagregations!$A:$B,2,0),""),IF(O356&lt;&gt;"","_",""),IF(O356&lt;&gt;"",VLOOKUP(O356,Desagregations!$A:$B,2,0),""),IF(P356&lt;&gt;"","_",""),IF(P356&lt;&gt;"",VLOOKUP(P356,Desagregations!$A:$B,2,0),"")),"-",VLOOKUP(D356,Unites!$A:$B,2,0),"-",VLOOKUP(E356,Sources!$A:$B,2,0),"-",VLOOKUP(F356,CommentaireValeurIndicateurs!$A:$B,2,0),"-",VLOOKUP(G356,NatureDonnees!$A:$B,2,0),"-",VLOOKUP(H356,Periodes!$A:$B,2,0))</f>
        <v>1316-1-6-4-50-3-1-30</v>
      </c>
      <c r="B356" s="2" t="s">
        <v>72</v>
      </c>
      <c r="C356" s="4" t="s">
        <v>136</v>
      </c>
      <c r="D356" t="s">
        <v>125</v>
      </c>
      <c r="E356" t="s">
        <v>124</v>
      </c>
      <c r="F356" s="4" t="s">
        <v>399</v>
      </c>
      <c r="G356" s="4" t="s">
        <v>400</v>
      </c>
      <c r="H356">
        <v>2029</v>
      </c>
      <c r="I356">
        <v>70</v>
      </c>
      <c r="K35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Indicateurs</vt:lpstr>
      <vt:lpstr>Desagregations</vt:lpstr>
      <vt:lpstr>Sources</vt:lpstr>
      <vt:lpstr>Unites</vt:lpstr>
      <vt:lpstr>Zones</vt:lpstr>
      <vt:lpstr>Periodes</vt:lpstr>
      <vt:lpstr>CommentaireValeurIndicateurs</vt:lpstr>
      <vt:lpstr>NatureDonnees</vt:lpstr>
      <vt:lpstr>Data</vt:lpstr>
      <vt:lpstr>bkp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Abass Ali</cp:lastModifiedBy>
  <dcterms:created xsi:type="dcterms:W3CDTF">2025-11-05T09:22:49Z</dcterms:created>
  <dcterms:modified xsi:type="dcterms:W3CDTF">2025-11-05T10:23:42Z</dcterms:modified>
  <cp:category/>
</cp:coreProperties>
</file>